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 Dashboard" sheetId="2" state="visible" r:id="rId4"/>
    <sheet name="Region Rollout Plan" sheetId="3" state="visible" r:id="rId5"/>
    <sheet name="Shared Ingestion Sources" sheetId="4" state="visible" r:id="rId6"/>
    <sheet name="Master Inventory" sheetId="5" state="visible" r:id="rId7"/>
    <sheet name="Needs Research" sheetId="6" state="visible" r:id="rId8"/>
  </sheets>
  <definedNames>
    <definedName function="false" hidden="true" localSheetId="4" name="_xlnm._FilterDatabase" vbProcedure="false">'Master Inventory'!$A$1:$N$221</definedName>
    <definedName function="false" hidden="true" localSheetId="5" name="_xlnm._FilterDatabase" vbProcedure="false">'Needs Research'!$A$5:$F$21</definedName>
    <definedName function="false" hidden="true" localSheetId="3" name="_xlnm._FilterDatabase" vbProcedure="false">'Shared Ingestion Sources'!$A$5:$F$22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<sst xmlns="http://schemas.openxmlformats.org/spreadsheetml/2006/main" count="2042" uniqueCount="732">
  <si>
    <t xml:space="preserve">AIP Library — Global Source Inventory &amp; Rollout Tracker</t>
  </si>
  <si>
    <t xml:space="preserve">Working document — built from the team-supplied AIP source list, classified and structured for a region-wise, free-access-first rollout.</t>
  </si>
  <si>
    <t xml:space="preserve">WHAT THIS WORKBOOK IS</t>
  </si>
  <si>
    <t xml:space="preserve">SHEETS IN THIS WORKBOOK</t>
  </si>
  <si>
    <t xml:space="preserve">Summary Dashboard</t>
  </si>
  <si>
    <t xml:space="preserve">Top-line counts: coverage, access-type split, rollout phase split. Updates automatically as you edit Master Inventory.</t>
  </si>
  <si>
    <t xml:space="preserve">Region Rollout Plan</t>
  </si>
  <si>
    <t xml:space="preserve">Recommended region sequencing with rationale, and per-region free/paid/needs-research counts.</t>
  </si>
  <si>
    <t xml:space="preserve">Shared Ingestion Sources</t>
  </si>
  <si>
    <t xml:space="preserve">The highest-leverage rows — single connectors that cover multiple countries at once (e.g. one ASECNA scraper = 18 African states). Build these first.</t>
  </si>
  <si>
    <t xml:space="preserve">Master Inventory</t>
  </si>
  <si>
    <t xml:space="preserve">The full working list — every country, its source URL, heuristic access classification, rollout phase, and editable Status/Owner/Notes columns for your team to fill in as you verify each site.</t>
  </si>
  <si>
    <t xml:space="preserve">Needs Research</t>
  </si>
  <si>
    <t xml:space="preserve">Action list: countries with no source on file, or with links that look internal/restricted rather than official public AIS sites.</t>
  </si>
  <si>
    <t xml:space="preserve">ACCESS TYPE LEGEND (Master Inventory column F)</t>
  </si>
  <si>
    <t xml:space="preserve">FREE (Verified)</t>
  </si>
  <si>
    <t xml:space="preserve">I independently confirmed this is a free, official public AIS/eAIP site.</t>
  </si>
  <si>
    <t xml:space="preserve">LIKELY FREE (Unverified)</t>
  </si>
  <si>
    <t xml:space="preserve">Domain pattern matches the global default norm for public eAIP sites (gov/ANSP domain, no login wall detected). Not individually checked — verify before build.</t>
  </si>
  <si>
    <t xml:space="preserve">LOGIN REQUIRED - VERIFY</t>
  </si>
  <si>
    <t xml:space="preserve">URL points to a login/account/extranet gate. Could be free registration (like EUROCONTROL EAD Basic) or a paid subscription — confirm which before building a connector.</t>
  </si>
  <si>
    <t xml:space="preserve">PAID</t>
  </si>
  <si>
    <t xml:space="preserve">Confirmed commercial/subscription source (e.g. AeroPath's storefront for several Pacific Island states).</t>
  </si>
  <si>
    <t xml:space="preserve">RESTRICTED / INTERNAL - VERIFY</t>
  </si>
  <si>
    <t xml:space="preserve">The link looks like an internal file share (SharePoint/OneDrive) rather than an official public AIS site — likely needs replacing with the real state source.</t>
  </si>
  <si>
    <t xml:space="preserve">NO SOURCE FOUND</t>
  </si>
  <si>
    <t xml:space="preserve">No URL was supplied for this state — needs research from scratch.</t>
  </si>
  <si>
    <t xml:space="preserve">IMPORTANT CAVEAT</t>
  </si>
  <si>
    <t xml:space="preserve">HOW TO USE</t>
  </si>
  <si>
    <t xml:space="preserve">AIP Library — Coverage Dashboard</t>
  </si>
  <si>
    <t xml:space="preserve">Live counts pulled from Master Inventory — updates automatically as Status/data is edited.</t>
  </si>
  <si>
    <t xml:space="preserve">Total states tracked</t>
  </si>
  <si>
    <t xml:space="preserve">Free or Likely-Free (combined)</t>
  </si>
  <si>
    <t xml:space="preserve">Paid (skip for now)</t>
  </si>
  <si>
    <t xml:space="preserve">Needs research (no source / restricted link)</t>
  </si>
  <si>
    <t xml:space="preserve">Login-gated, access model unconfirmed</t>
  </si>
  <si>
    <t xml:space="preserve">Access Type Breakdown</t>
  </si>
  <si>
    <t xml:space="preserve">Access Type</t>
  </si>
  <si>
    <t xml:space="preserve">Count</t>
  </si>
  <si>
    <t xml:space="preserve">Rollout Phase Breakdown</t>
  </si>
  <si>
    <t xml:space="preserve">Rollout Phase</t>
  </si>
  <si>
    <t xml:space="preserve">Phase 1 - Free</t>
  </si>
  <si>
    <t xml:space="preserve">Phase 2 - Verify</t>
  </si>
  <si>
    <t xml:space="preserve">Phase 3 - Paid (Skip for now)</t>
  </si>
  <si>
    <t xml:space="preserve">Phase X - Unresolved</t>
  </si>
  <si>
    <t xml:space="preserve">Recommended Region-by-Region Rollout Sequence</t>
  </si>
  <si>
    <t xml:space="preserve">Default sequencing — reorder the Sequence column to match your own route-network priorities.</t>
  </si>
  <si>
    <t xml:space="preserve">Sequence</t>
  </si>
  <si>
    <t xml:space="preserve">Region</t>
  </si>
  <si>
    <t xml:space="preserve">Total States</t>
  </si>
  <si>
    <t xml:space="preserve">Free (Verified)</t>
  </si>
  <si>
    <t xml:space="preserve">Likely Free (Unverified)</t>
  </si>
  <si>
    <t xml:space="preserve">Paid</t>
  </si>
  <si>
    <t xml:space="preserve">% Free/Likely-Free</t>
  </si>
  <si>
    <t xml:space="preserve">Rationale</t>
  </si>
  <si>
    <t xml:space="preserve">NORTH &amp; CENTRAL AMERICA</t>
  </si>
  <si>
    <t xml:space="preserve">Highest confirmed-free ratio, includes 3 mega-leverage shared connectors (T&amp;T CAA x10, COCESNA x6, Dutch Caribbean ANSP x6) plus US/Canada/Mexico. Fastest, highest-confidence region to start with.</t>
  </si>
  <si>
    <t xml:space="preserve">EUROPE</t>
  </si>
  <si>
    <t xml:space="preserve">Highest overall free ratio (98%) and the highest operational value for most flight-ops businesses. Mostly standardized under EUROCONTROL eAIP conventions; individual sites need verification but few red flags.</t>
  </si>
  <si>
    <t xml:space="preserve">AFRICA</t>
  </si>
  <si>
    <t xml:space="preserve">Largest state count, but the ASECNA block alone (2 connectors) covers 18 states — build that first for outsized ROI. Remaining ~39 states need individual verification; expect some genuine gaps (not every state maintains a digital AIP).</t>
  </si>
  <si>
    <t xml:space="preserve">MIDDLE EAST</t>
  </si>
  <si>
    <t xml:space="preserve">Smaller set (15 states), high overflight/routing value for international operators.</t>
  </si>
  <si>
    <t xml:space="preserve">ASIA &amp; PACIFIC</t>
  </si>
  <si>
    <t xml:space="preserve">Contains major world markets (India, China, Japan, Singapore, Australia, Indonesia, Malaysia, Thailand, Vietnam, South Korea, Philippines) worth prioritizing — but also the only region with confirmed paid sources (8 Pacific micro-states via one commercial reseller). Do the major markets first, defer the paid Pacific islands.</t>
  </si>
  <si>
    <t xml:space="preserve">SOUTH AMERICA</t>
  </si>
  <si>
    <t xml:space="preserve">Smallest region by count (15 states), moderate priority.</t>
  </si>
  <si>
    <t xml:space="preserve">High-Leverage Sources — Build Once, Cover Many States</t>
  </si>
  <si>
    <t xml:space="preserve">One connector/scraper against each of these domains covers every listed country. Build these first for maximum coverage per engineering hour.</t>
  </si>
  <si>
    <t xml:space="preserve">Domain (Ingestion Source)</t>
  </si>
  <si>
    <t xml:space="preserve"># States Covered</t>
  </si>
  <si>
    <t xml:space="preserve">States Covered</t>
  </si>
  <si>
    <t xml:space="preserve">Build Priority</t>
  </si>
  <si>
    <t xml:space="preserve">ais.asecna.aero</t>
  </si>
  <si>
    <t xml:space="preserve">Benin, Cameroon, Central African Republic, Chad, Comoros, Congo (Brazzville), Equatorial Guinea, Gabon, Guinea-Bissau, Ivory Coast, Madagascar, Mali, Mauritania, Niger, Senegal, Togo</t>
  </si>
  <si>
    <t xml:space="preserve">Build First (Tier 1)</t>
  </si>
  <si>
    <t xml:space="preserve">caa.gov.tt</t>
  </si>
  <si>
    <t xml:space="preserve">Anguilla, Antigua And Barbuda, Dominica, Grenada, Montserrat, Saint Christopher And Nev, Saint Lucia, Saint Vincent And Grenadines, Trinidad And Tobago, Uk Virgin Islands</t>
  </si>
  <si>
    <t xml:space="preserve">shop.aeropath.aero</t>
  </si>
  <si>
    <t xml:space="preserve">Kiribati, Nauru, Niue, Samoa, Solomon Islands, Tonga, Tuvalu, Vanutau</t>
  </si>
  <si>
    <t xml:space="preserve">Skip for now (Paid)</t>
  </si>
  <si>
    <t xml:space="preserve">www.cocesna.org</t>
  </si>
  <si>
    <t xml:space="preserve">Belize, Costa Rica, El Salvador, Guatemala, Honduras, Nicaragua</t>
  </si>
  <si>
    <t xml:space="preserve">dc-ansp.org</t>
  </si>
  <si>
    <t xml:space="preserve">Aruba (Netherlands), Bonaire Saba St Eustatius, Curacao, Saba (Netherlands), Saint Eustatius, Saint Maarten (Netherlands)</t>
  </si>
  <si>
    <t xml:space="preserve">sabrenow.sharepoint.com</t>
  </si>
  <si>
    <t xml:space="preserve">Burundi, Eritrea, Malawi</t>
  </si>
  <si>
    <t xml:space="preserve">Fix link first (see Needs Research)</t>
  </si>
  <si>
    <t xml:space="preserve">www.caica.ru</t>
  </si>
  <si>
    <t xml:space="preserve">Russian Federation, Tajikistan, Turkmenistan</t>
  </si>
  <si>
    <t xml:space="preserve">Build Early (Tier 2)</t>
  </si>
  <si>
    <t xml:space="preserve">www.sia.aviation-civile.gouv.fr</t>
  </si>
  <si>
    <t xml:space="preserve">French Polinesia, New Caledonia (France), Wallis And Futana Islands</t>
  </si>
  <si>
    <t xml:space="preserve">www.faa.gov</t>
  </si>
  <si>
    <t xml:space="preserve">Puerto Rico (Us), United States, Us Virgin Islands</t>
  </si>
  <si>
    <t xml:space="preserve">aim.naviair.dk</t>
  </si>
  <si>
    <t xml:space="preserve">Denmark, Faroe Islands, Greenland</t>
  </si>
  <si>
    <t xml:space="preserve">aip.enaire.es</t>
  </si>
  <si>
    <t xml:space="preserve">Gibraltar, Spain (Canary Islands)</t>
  </si>
  <si>
    <t xml:space="preserve">aim.asecna.aero</t>
  </si>
  <si>
    <t xml:space="preserve">Burkina Faso, Rwanda</t>
  </si>
  <si>
    <t xml:space="preserve">French Guiana, Martinique(France)</t>
  </si>
  <si>
    <t xml:space="preserve">www.smatsa.rs</t>
  </si>
  <si>
    <t xml:space="preserve">Montenegro, Serbia</t>
  </si>
  <si>
    <t xml:space="preserve">Mayotte (France), Reunion</t>
  </si>
  <si>
    <t xml:space="preserve">www.ead.eurocontrol.int</t>
  </si>
  <si>
    <t xml:space="preserve">Azerbaijan, Switzerland</t>
  </si>
  <si>
    <t xml:space="preserve">ops.skeyes.be</t>
  </si>
  <si>
    <t xml:space="preserve">Belgium, Luxembourg</t>
  </si>
  <si>
    <t xml:space="preserve">Country</t>
  </si>
  <si>
    <t xml:space="preserve">ICAO Code</t>
  </si>
  <si>
    <t xml:space="preserve">eAIP / AIS URL</t>
  </si>
  <si>
    <t xml:space="preserve">Corrected URL (if flagged)</t>
  </si>
  <si>
    <t xml:space="preserve">Heuristic Reasoning</t>
  </si>
  <si>
    <t xml:space="preserve">Region Priority Rank</t>
  </si>
  <si>
    <t xml:space="preserve">States Sharing This Source</t>
  </si>
  <si>
    <t xml:space="preserve">Status</t>
  </si>
  <si>
    <t xml:space="preserve">Owner</t>
  </si>
  <si>
    <t xml:space="preserve">Last Checked</t>
  </si>
  <si>
    <t xml:space="preserve">Notes</t>
  </si>
  <si>
    <t xml:space="preserve">Anguilla</t>
  </si>
  <si>
    <t xml:space="preserve">TQ</t>
  </si>
  <si>
    <t xml:space="preserve">http://caa.gov.tt/</t>
  </si>
  <si>
    <t xml:space="preserve">Confirmed via direct check of the official AIS/ANSP site</t>
  </si>
  <si>
    <t xml:space="preserve">Not Started</t>
  </si>
  <si>
    <t xml:space="preserve">Antigua And Barbuda</t>
  </si>
  <si>
    <t xml:space="preserve">TA</t>
  </si>
  <si>
    <t xml:space="preserve">Aruba (Netherlands)</t>
  </si>
  <si>
    <t xml:space="preserve">TN</t>
  </si>
  <si>
    <t xml:space="preserve">https://dc-ansp.org/eAIS/eaip-dutch-caribbean/</t>
  </si>
  <si>
    <t xml:space="preserve">Bahamas</t>
  </si>
  <si>
    <t xml:space="preserve">MY</t>
  </si>
  <si>
    <t xml:space="preserve">https://bansabahamas.com/aip.html</t>
  </si>
  <si>
    <t xml:space="preserve">No paid/restricted signal detected — defaulting to global norm (most state eAIP sites are free to view); not individually confirmed</t>
  </si>
  <si>
    <t xml:space="preserve">Barbados</t>
  </si>
  <si>
    <t xml:space="preserve">TB</t>
  </si>
  <si>
    <t xml:space="preserve">http://bcad.gov.bb/eAIP/bcad/index.php</t>
  </si>
  <si>
    <t xml:space="preserve">Government / ANSP / civil aviation authority domain pattern — matches the global default norm of free public eAIP access</t>
  </si>
  <si>
    <t xml:space="preserve">Belize</t>
  </si>
  <si>
    <t xml:space="preserve">MZ</t>
  </si>
  <si>
    <t xml:space="preserve">https://www.cocesna.org/index.php?id=14</t>
  </si>
  <si>
    <t xml:space="preserve">Bermuda</t>
  </si>
  <si>
    <t xml:space="preserve">TX</t>
  </si>
  <si>
    <t xml:space="preserve">https://www.airportauthority.bm/ais/aeronautical-info-publication.html</t>
  </si>
  <si>
    <t xml:space="preserve">Bonaire Saba St Eustatius</t>
  </si>
  <si>
    <t xml:space="preserve">Canada</t>
  </si>
  <si>
    <t xml:space="preserve">CY &amp; CZ</t>
  </si>
  <si>
    <t xml:space="preserve">https://navcanada.sharepoint.com/sites/Extranet</t>
  </si>
  <si>
    <t xml:space="preserve">https://www.navcanada.ca/en/aeronautical-information/aip-canada.aspx</t>
  </si>
  <si>
    <t xml:space="preserve">Cloud file-share link, not an official public AIS domain — likely wrong/internal link</t>
  </si>
  <si>
    <t xml:space="preserve">Cayman Islands</t>
  </si>
  <si>
    <t xml:space="preserve">MW</t>
  </si>
  <si>
    <t xml:space="preserve">https://www.caymanairports.com/aeronautical-information-publication/</t>
  </si>
  <si>
    <t xml:space="preserve">Costa Rica</t>
  </si>
  <si>
    <t xml:space="preserve">MR</t>
  </si>
  <si>
    <t xml:space="preserve">Cuba</t>
  </si>
  <si>
    <t xml:space="preserve">MU</t>
  </si>
  <si>
    <t xml:space="preserve">http://aismet.avianet.cu/html/index.html</t>
  </si>
  <si>
    <t xml:space="preserve">Curacao</t>
  </si>
  <si>
    <t xml:space="preserve">Dominica</t>
  </si>
  <si>
    <t xml:space="preserve">TD</t>
  </si>
  <si>
    <t xml:space="preserve">Dominican Republic</t>
  </si>
  <si>
    <t xml:space="preserve">MD</t>
  </si>
  <si>
    <t xml:space="preserve">https://aip.sna.gob.do/</t>
  </si>
  <si>
    <t xml:space="preserve">El Salvador</t>
  </si>
  <si>
    <t xml:space="preserve">MS</t>
  </si>
  <si>
    <t xml:space="preserve">French Antilles(Guadeloupe)</t>
  </si>
  <si>
    <t xml:space="preserve">TF</t>
  </si>
  <si>
    <t xml:space="preserve">http://www.sia.aviation-civile.gouv.fr/</t>
  </si>
  <si>
    <t xml:space="preserve">Grenada</t>
  </si>
  <si>
    <t xml:space="preserve">TG</t>
  </si>
  <si>
    <t xml:space="preserve">Guatemala</t>
  </si>
  <si>
    <t xml:space="preserve">MG</t>
  </si>
  <si>
    <t xml:space="preserve">Haiti</t>
  </si>
  <si>
    <t xml:space="preserve">MT</t>
  </si>
  <si>
    <t xml:space="preserve">https://ofnac.gouv.ht/index.php/amendment/</t>
  </si>
  <si>
    <t xml:space="preserve">Honduras</t>
  </si>
  <si>
    <t xml:space="preserve">MH</t>
  </si>
  <si>
    <t xml:space="preserve">Jamaica</t>
  </si>
  <si>
    <t xml:space="preserve">MK</t>
  </si>
  <si>
    <t xml:space="preserve">https://aim.jcaa.aero/client/login</t>
  </si>
  <si>
    <t xml:space="preserve">URL points to a login/account/extranet gate — could be free registration or paid subscription, unconfirmed</t>
  </si>
  <si>
    <t xml:space="preserve">Mexico</t>
  </si>
  <si>
    <t xml:space="preserve">MM</t>
  </si>
  <si>
    <t xml:space="preserve">https://www.seneam.gob.mx/AIPMEXICO/inicio</t>
  </si>
  <si>
    <t xml:space="preserve">Montserrat</t>
  </si>
  <si>
    <t xml:space="preserve">TR</t>
  </si>
  <si>
    <t xml:space="preserve">Nicaragua</t>
  </si>
  <si>
    <t xml:space="preserve">MN</t>
  </si>
  <si>
    <t xml:space="preserve">Puerto Rico (Us)</t>
  </si>
  <si>
    <t xml:space="preserve">TJ</t>
  </si>
  <si>
    <t xml:space="preserve">https://www.faa.gov/air_traffic/flight_info/aeronav/digital_products/dafd/</t>
  </si>
  <si>
    <t xml:space="preserve">Saba (Netherlands)</t>
  </si>
  <si>
    <t xml:space="preserve">Saint Christopher And Nev</t>
  </si>
  <si>
    <t xml:space="preserve">TK</t>
  </si>
  <si>
    <t xml:space="preserve">Saint Eustatius</t>
  </si>
  <si>
    <t xml:space="preserve">Saint Lucia</t>
  </si>
  <si>
    <t xml:space="preserve">TL</t>
  </si>
  <si>
    <t xml:space="preserve">Saint Maarten (Netherlands)</t>
  </si>
  <si>
    <t xml:space="preserve">Saint Vincent And Grenadines</t>
  </si>
  <si>
    <t xml:space="preserve">TV</t>
  </si>
  <si>
    <t xml:space="preserve">Trinidad And Tobago</t>
  </si>
  <si>
    <t xml:space="preserve">TT</t>
  </si>
  <si>
    <t xml:space="preserve">Turks &amp; Caicos Islands</t>
  </si>
  <si>
    <t xml:space="preserve">MB</t>
  </si>
  <si>
    <t xml:space="preserve">http://tciairports.com/tci-aip/</t>
  </si>
  <si>
    <t xml:space="preserve">Uk Virgin Islands</t>
  </si>
  <si>
    <t xml:space="preserve">TU</t>
  </si>
  <si>
    <t xml:space="preserve">United States</t>
  </si>
  <si>
    <t xml:space="preserve">KX &amp; PX</t>
  </si>
  <si>
    <t xml:space="preserve">http://www.faa.gov/air_traffic/publications/</t>
  </si>
  <si>
    <t xml:space="preserve">Us Virgin Islands</t>
  </si>
  <si>
    <t xml:space="preserve">TI</t>
  </si>
  <si>
    <t xml:space="preserve">http://www.faa.gov/air_traffic/flight_info/aeronav/digital_products/dafd/</t>
  </si>
  <si>
    <t xml:space="preserve">Albania</t>
  </si>
  <si>
    <t xml:space="preserve">LA</t>
  </si>
  <si>
    <t xml:space="preserve">https://ais.albcontrol.al/</t>
  </si>
  <si>
    <t xml:space="preserve">Armenia</t>
  </si>
  <si>
    <t xml:space="preserve">UD</t>
  </si>
  <si>
    <t xml:space="preserve">http://www.armats.am/activities/ais/eaip</t>
  </si>
  <si>
    <t xml:space="preserve">Austria</t>
  </si>
  <si>
    <t xml:space="preserve">LO</t>
  </si>
  <si>
    <t xml:space="preserve">https://www.austrocontrol.at/en/pilots/pre-flight_preparation/aim_products/aip_sup</t>
  </si>
  <si>
    <t xml:space="preserve">Azerbaijan</t>
  </si>
  <si>
    <t xml:space="preserve">UB</t>
  </si>
  <si>
    <t xml:space="preserve">https://www.ead.eurocontrol.int/cms-eadbasic/opencms/en/login/ead-basic/</t>
  </si>
  <si>
    <t xml:space="preserve">Belarus</t>
  </si>
  <si>
    <t xml:space="preserve">UM</t>
  </si>
  <si>
    <t xml:space="preserve">https://www.ban.by/en/aeronautical-information-aip/amdt</t>
  </si>
  <si>
    <t xml:space="preserve">Belgium</t>
  </si>
  <si>
    <t xml:space="preserve">EB</t>
  </si>
  <si>
    <t xml:space="preserve">https://ops.skeyes.be/html/belgocontrol_static/eaip/eAIP_Product/index.html</t>
  </si>
  <si>
    <t xml:space="preserve">Bosnia And Herzegovina</t>
  </si>
  <si>
    <t xml:space="preserve">LQ</t>
  </si>
  <si>
    <t xml:space="preserve">https://eaip.bhansa.gov.ba/</t>
  </si>
  <si>
    <t xml:space="preserve">Bulgaria</t>
  </si>
  <si>
    <t xml:space="preserve">LB</t>
  </si>
  <si>
    <t xml:space="preserve">http://www.bulatsa.com/</t>
  </si>
  <si>
    <t xml:space="preserve">Croatia</t>
  </si>
  <si>
    <t xml:space="preserve">LD</t>
  </si>
  <si>
    <t xml:space="preserve">https://www.crocontrol.hr/UserDocsImages/AIS%20produkti/eAIP/start.html</t>
  </si>
  <si>
    <t xml:space="preserve">Cyprus</t>
  </si>
  <si>
    <t xml:space="preserve">LC</t>
  </si>
  <si>
    <t xml:space="preserve">http://www.mcw.gov.cy/mcw/DCA/AIS/ais.nsf/ch03_en/ch03_en?OpenDocument</t>
  </si>
  <si>
    <t xml:space="preserve">Czech Republic</t>
  </si>
  <si>
    <t xml:space="preserve">LK</t>
  </si>
  <si>
    <t xml:space="preserve">http://lis.rlp.cz/?lang=en</t>
  </si>
  <si>
    <t xml:space="preserve">Denmark</t>
  </si>
  <si>
    <t xml:space="preserve">EK</t>
  </si>
  <si>
    <t xml:space="preserve">http://aim.naviair.dk/</t>
  </si>
  <si>
    <t xml:space="preserve">Estonia</t>
  </si>
  <si>
    <t xml:space="preserve">EE</t>
  </si>
  <si>
    <t xml:space="preserve">https://aim.eans.ee/index.php?option=com_content&amp;view=article&amp;id=129&amp;Itemid=2&amp;lang=en</t>
  </si>
  <si>
    <t xml:space="preserve">Faroe Islands</t>
  </si>
  <si>
    <t xml:space="preserve">https://aim.naviair.dk/</t>
  </si>
  <si>
    <t xml:space="preserve">Finland</t>
  </si>
  <si>
    <t xml:space="preserve">EF</t>
  </si>
  <si>
    <t xml:space="preserve">https://ais.fi/</t>
  </si>
  <si>
    <t xml:space="preserve">France</t>
  </si>
  <si>
    <t xml:space="preserve">LF</t>
  </si>
  <si>
    <t xml:space="preserve">Georgia</t>
  </si>
  <si>
    <t xml:space="preserve">UG</t>
  </si>
  <si>
    <t xml:space="preserve">http://airnav.ge/</t>
  </si>
  <si>
    <t xml:space="preserve">Germany</t>
  </si>
  <si>
    <t xml:space="preserve">ED</t>
  </si>
  <si>
    <t xml:space="preserve">http://www.dfs-ais.de/</t>
  </si>
  <si>
    <t xml:space="preserve">Gibraltar</t>
  </si>
  <si>
    <t xml:space="preserve">LX</t>
  </si>
  <si>
    <t xml:space="preserve">https://aip.enaire.es/AIP/#END</t>
  </si>
  <si>
    <t xml:space="preserve">Greece</t>
  </si>
  <si>
    <t xml:space="preserve">LG</t>
  </si>
  <si>
    <t xml:space="preserve">http://www.ypa.gr/aip/login</t>
  </si>
  <si>
    <t xml:space="preserve">Greenland</t>
  </si>
  <si>
    <t xml:space="preserve">BG</t>
  </si>
  <si>
    <t xml:space="preserve">https://aim.naviair.dk/en/</t>
  </si>
  <si>
    <t xml:space="preserve">Hungary</t>
  </si>
  <si>
    <t xml:space="preserve">LH</t>
  </si>
  <si>
    <t xml:space="preserve">http://ais.hungarocontrol.hu/</t>
  </si>
  <si>
    <t xml:space="preserve">Iceland</t>
  </si>
  <si>
    <t xml:space="preserve">BI</t>
  </si>
  <si>
    <t xml:space="preserve">http://eaip.samgongustofa.is/</t>
  </si>
  <si>
    <t xml:space="preserve">Ireland</t>
  </si>
  <si>
    <t xml:space="preserve">EI</t>
  </si>
  <si>
    <t xml:space="preserve">https://www.airnav.ie/air-traffic-management/aeronautical-information-management/aip-package</t>
  </si>
  <si>
    <t xml:space="preserve">Italy</t>
  </si>
  <si>
    <t xml:space="preserve">LI</t>
  </si>
  <si>
    <t xml:space="preserve">https://www.enav.it/sites/public/en/Servizi/areonautical-information.html</t>
  </si>
  <si>
    <t xml:space="preserve">Kazakhstan</t>
  </si>
  <si>
    <t xml:space="preserve">UA</t>
  </si>
  <si>
    <t xml:space="preserve">http://www.ans.kz/</t>
  </si>
  <si>
    <t xml:space="preserve">Kosovo</t>
  </si>
  <si>
    <t xml:space="preserve">BK</t>
  </si>
  <si>
    <t xml:space="preserve">https://www.ashna-ks.org/en/services/ais/</t>
  </si>
  <si>
    <t xml:space="preserve">Kyrgyzstan</t>
  </si>
  <si>
    <t xml:space="preserve">UC</t>
  </si>
  <si>
    <t xml:space="preserve">http://www.kan.kg/en/ais</t>
  </si>
  <si>
    <t xml:space="preserve">Latvia</t>
  </si>
  <si>
    <t xml:space="preserve">EV</t>
  </si>
  <si>
    <t xml:space="preserve">https://ais.lgs.lv/</t>
  </si>
  <si>
    <t xml:space="preserve">Lithuania</t>
  </si>
  <si>
    <t xml:space="preserve">EY</t>
  </si>
  <si>
    <t xml:space="preserve">http://www.ans.lt/en/ais/</t>
  </si>
  <si>
    <t xml:space="preserve">Luxembourg</t>
  </si>
  <si>
    <t xml:space="preserve">ELLX</t>
  </si>
  <si>
    <t xml:space="preserve">Macedonia</t>
  </si>
  <si>
    <t xml:space="preserve">LW</t>
  </si>
  <si>
    <t xml:space="preserve">https://ais.m-nav.info/eAIP/Start.htm</t>
  </si>
  <si>
    <t xml:space="preserve">Malta</t>
  </si>
  <si>
    <t xml:space="preserve">LM</t>
  </si>
  <si>
    <t xml:space="preserve">https://www.transport.gov.mt/aviation/air-navigation-services-aerodromes-690</t>
  </si>
  <si>
    <t xml:space="preserve">Moldova</t>
  </si>
  <si>
    <t xml:space="preserve">LU</t>
  </si>
  <si>
    <t xml:space="preserve">https://aim.moldatsa.md/#welcome</t>
  </si>
  <si>
    <t xml:space="preserve">Montenegro</t>
  </si>
  <si>
    <t xml:space="preserve">LY</t>
  </si>
  <si>
    <t xml:space="preserve">http://www.smatsa.rs/</t>
  </si>
  <si>
    <t xml:space="preserve">Netherland(Mil)</t>
  </si>
  <si>
    <t xml:space="preserve">EH</t>
  </si>
  <si>
    <t xml:space="preserve">https://www.defensie.nl/english/topics/m/milaip-military-aeronautical-information-publication</t>
  </si>
  <si>
    <t xml:space="preserve">Netherlands(Civil)</t>
  </si>
  <si>
    <t xml:space="preserve">https://www.lvnl.nl/diensten/aip</t>
  </si>
  <si>
    <t xml:space="preserve">Norway</t>
  </si>
  <si>
    <t xml:space="preserve">EN</t>
  </si>
  <si>
    <t xml:space="preserve">https://www.avinor.no/ais</t>
  </si>
  <si>
    <t xml:space="preserve">Poland</t>
  </si>
  <si>
    <t xml:space="preserve">EP</t>
  </si>
  <si>
    <t xml:space="preserve">https://www.ais.pansa.pl/en</t>
  </si>
  <si>
    <t xml:space="preserve">Portugal Lisboa</t>
  </si>
  <si>
    <t xml:space="preserve">LP</t>
  </si>
  <si>
    <t xml:space="preserve">https://ais.nav.pt/online-eaip-en/</t>
  </si>
  <si>
    <t xml:space="preserve">Romania</t>
  </si>
  <si>
    <t xml:space="preserve">LR</t>
  </si>
  <si>
    <t xml:space="preserve">https://www.aisro.ro/</t>
  </si>
  <si>
    <t xml:space="preserve">Russian Federation</t>
  </si>
  <si>
    <t xml:space="preserve">Ux</t>
  </si>
  <si>
    <t xml:space="preserve">http://www.caica.ru/ANI_Official/Aip/index.htm</t>
  </si>
  <si>
    <t xml:space="preserve">Serbia</t>
  </si>
  <si>
    <t xml:space="preserve">Slovakia</t>
  </si>
  <si>
    <t xml:space="preserve">LZ</t>
  </si>
  <si>
    <t xml:space="preserve">https://aim.lps.sk/web/?fn=205&amp;lng=en&amp;sess=H9EFeP56zrSL7vFXUATYR00hgUgGIEuxAIECGCBB&amp;type=4</t>
  </si>
  <si>
    <t xml:space="preserve">Slovenia</t>
  </si>
  <si>
    <t xml:space="preserve">LJ</t>
  </si>
  <si>
    <t xml:space="preserve">https://aim.sloveniacontrol.si/aim/</t>
  </si>
  <si>
    <t xml:space="preserve">Spain (Canary Islands)</t>
  </si>
  <si>
    <t xml:space="preserve">LE &amp; GC</t>
  </si>
  <si>
    <t xml:space="preserve">https://aip.enaire.es/AIP/?_gl=1*ijyrv4*_ga*NDc1OTE5NDc2LjE3NzgxNTAwNzY.*_ga_6BWPFHBF33*czE3ODEwNzg1NzkkbzIkZzEkdDE3ODEwNzg2MTgkajIxJGwwJGgwAIP-en.html</t>
  </si>
  <si>
    <t xml:space="preserve">Sweden</t>
  </si>
  <si>
    <t xml:space="preserve">ES</t>
  </si>
  <si>
    <t xml:space="preserve">https://aro.lfv.se/Editorial/View/IAIP</t>
  </si>
  <si>
    <t xml:space="preserve">Switzerland</t>
  </si>
  <si>
    <t xml:space="preserve">LS</t>
  </si>
  <si>
    <t xml:space="preserve">Tajikistan</t>
  </si>
  <si>
    <t xml:space="preserve">UT</t>
  </si>
  <si>
    <t xml:space="preserve">http://www.caica.ru/aiptjk/?lang=en</t>
  </si>
  <si>
    <t xml:space="preserve">Turkey / Trnc</t>
  </si>
  <si>
    <t xml:space="preserve">LT</t>
  </si>
  <si>
    <t xml:space="preserve">https://www.dhmi.gov.tr/Sayfalar/aipturkey.aspx</t>
  </si>
  <si>
    <t xml:space="preserve">Turkmenistan</t>
  </si>
  <si>
    <t xml:space="preserve">http://www.caica.ru/aiptkm/?lang=en</t>
  </si>
  <si>
    <t xml:space="preserve">Ukraine</t>
  </si>
  <si>
    <t xml:space="preserve">UK</t>
  </si>
  <si>
    <t xml:space="preserve">http://www.aisukraine.net/titul_en.php</t>
  </si>
  <si>
    <t xml:space="preserve">United Kingdom</t>
  </si>
  <si>
    <t xml:space="preserve">EG</t>
  </si>
  <si>
    <t xml:space="preserve">https://nats-uk.ead-it.com/cms-nats/opencms/en/Publications/AIP/</t>
  </si>
  <si>
    <t xml:space="preserve">Uzbekistan</t>
  </si>
  <si>
    <t xml:space="preserve">UZ</t>
  </si>
  <si>
    <t xml:space="preserve">https://uzaeronavigation.com/ais/#</t>
  </si>
  <si>
    <t xml:space="preserve">Benin</t>
  </si>
  <si>
    <t xml:space="preserve">DB</t>
  </si>
  <si>
    <t xml:space="preserve">https://ais.asecna.aero/</t>
  </si>
  <si>
    <t xml:space="preserve">Burkina Faso</t>
  </si>
  <si>
    <t xml:space="preserve">DF</t>
  </si>
  <si>
    <t xml:space="preserve">https://aim.asecna.aero/html/index-fr-FR.html</t>
  </si>
  <si>
    <t xml:space="preserve">Cameroon</t>
  </si>
  <si>
    <t xml:space="preserve">FK</t>
  </si>
  <si>
    <t xml:space="preserve">Central African Republic</t>
  </si>
  <si>
    <t xml:space="preserve">FE</t>
  </si>
  <si>
    <t xml:space="preserve">Chad</t>
  </si>
  <si>
    <t xml:space="preserve">FT</t>
  </si>
  <si>
    <t xml:space="preserve">Comoros</t>
  </si>
  <si>
    <t xml:space="preserve">FM</t>
  </si>
  <si>
    <t xml:space="preserve">Congo (Brazzville)</t>
  </si>
  <si>
    <t xml:space="preserve">FC</t>
  </si>
  <si>
    <t xml:space="preserve">Equatorial Guinea</t>
  </si>
  <si>
    <t xml:space="preserve">FG</t>
  </si>
  <si>
    <t xml:space="preserve">Gabon</t>
  </si>
  <si>
    <t xml:space="preserve">FO</t>
  </si>
  <si>
    <t xml:space="preserve">Guinea-Bissau</t>
  </si>
  <si>
    <t xml:space="preserve">GG</t>
  </si>
  <si>
    <t xml:space="preserve">Ivory Coast</t>
  </si>
  <si>
    <t xml:space="preserve">DI</t>
  </si>
  <si>
    <t xml:space="preserve">Madagascar</t>
  </si>
  <si>
    <t xml:space="preserve">Mali</t>
  </si>
  <si>
    <t xml:space="preserve">GA</t>
  </si>
  <si>
    <t xml:space="preserve">Mauritania</t>
  </si>
  <si>
    <t xml:space="preserve">GQ</t>
  </si>
  <si>
    <t xml:space="preserve">Niger</t>
  </si>
  <si>
    <t xml:space="preserve">DR</t>
  </si>
  <si>
    <t xml:space="preserve">Rwanda</t>
  </si>
  <si>
    <t xml:space="preserve">HR</t>
  </si>
  <si>
    <t xml:space="preserve">Senegal</t>
  </si>
  <si>
    <t xml:space="preserve">GO</t>
  </si>
  <si>
    <t xml:space="preserve">Togo</t>
  </si>
  <si>
    <t xml:space="preserve">DX</t>
  </si>
  <si>
    <t xml:space="preserve">Algeria</t>
  </si>
  <si>
    <t xml:space="preserve">DA</t>
  </si>
  <si>
    <t xml:space="preserve">https://www.sia-enna.dz/</t>
  </si>
  <si>
    <t xml:space="preserve">Angola</t>
  </si>
  <si>
    <t xml:space="preserve">FN</t>
  </si>
  <si>
    <t xml:space="preserve">http://www.inavic.gv.ao/opencms/inavicsite/sia/</t>
  </si>
  <si>
    <t xml:space="preserve">Botswana</t>
  </si>
  <si>
    <t xml:space="preserve">FB</t>
  </si>
  <si>
    <t xml:space="preserve">https://www.caab.co.bw/my-account/</t>
  </si>
  <si>
    <t xml:space="preserve">Burundi</t>
  </si>
  <si>
    <t xml:space="preserve">HB</t>
  </si>
  <si>
    <t xml:space="preserve">https://sabrenow.sharepoint.com/teams/ACD/FLT/FPM/dataservices/Test</t>
  </si>
  <si>
    <t xml:space="preserve">Cape Verde Islands</t>
  </si>
  <si>
    <t xml:space="preserve">GV</t>
  </si>
  <si>
    <t xml:space="preserve">https://ais.asa.cv/</t>
  </si>
  <si>
    <t xml:space="preserve">Congo (Kinshasa)</t>
  </si>
  <si>
    <t xml:space="preserve">FZ</t>
  </si>
  <si>
    <t xml:space="preserve">No URL on file — needs research from scratch</t>
  </si>
  <si>
    <t xml:space="preserve">Cueta And Melilla (Spain)</t>
  </si>
  <si>
    <t xml:space="preserve">GE</t>
  </si>
  <si>
    <t xml:space="preserve">https://www.enaire.es/services/AIS/AIP</t>
  </si>
  <si>
    <t xml:space="preserve">Djibouti</t>
  </si>
  <si>
    <t xml:space="preserve">HD</t>
  </si>
  <si>
    <t xml:space="preserve">https://djibaviationcivile.com/Circulaires?id=5f537098522dae004424ab1a</t>
  </si>
  <si>
    <t xml:space="preserve">Egypt</t>
  </si>
  <si>
    <t xml:space="preserve">HE</t>
  </si>
  <si>
    <t xml:space="preserve">http://www.nansceg.net/ais.html</t>
  </si>
  <si>
    <t xml:space="preserve">Eritrea</t>
  </si>
  <si>
    <t xml:space="preserve">HH</t>
  </si>
  <si>
    <t xml:space="preserve">https://sabrenow.sharepoint.com/teams/ACD/FLT/FPM/dataservices/Test/Forms/AllItems.aspx</t>
  </si>
  <si>
    <t xml:space="preserve">Eswatini</t>
  </si>
  <si>
    <t xml:space="preserve">FD</t>
  </si>
  <si>
    <t xml:space="preserve">Ethiopia</t>
  </si>
  <si>
    <t xml:space="preserve">HA</t>
  </si>
  <si>
    <t xml:space="preserve">Gambia</t>
  </si>
  <si>
    <t xml:space="preserve">GB</t>
  </si>
  <si>
    <t xml:space="preserve">https://eaip.gcaa.aero/eaip-gambia/html/historic/history.html</t>
  </si>
  <si>
    <t xml:space="preserve">Ghana</t>
  </si>
  <si>
    <t xml:space="preserve">DG</t>
  </si>
  <si>
    <t xml:space="preserve">http://www.gcaa.com.gh/extweb/index.php/home</t>
  </si>
  <si>
    <t xml:space="preserve">Kenya</t>
  </si>
  <si>
    <t xml:space="preserve">HK</t>
  </si>
  <si>
    <t xml:space="preserve">https://eaip.kcaa.or.ke/eAIPHome.aspx</t>
  </si>
  <si>
    <t xml:space="preserve">Lesotho</t>
  </si>
  <si>
    <t xml:space="preserve">FX</t>
  </si>
  <si>
    <t xml:space="preserve">http://lesothoembassy.de/DCAweb/sections/ais.htm</t>
  </si>
  <si>
    <t xml:space="preserve">Libya</t>
  </si>
  <si>
    <t xml:space="preserve">HL</t>
  </si>
  <si>
    <t xml:space="preserve">http://caa.gov.ly/ais/aip/ad/</t>
  </si>
  <si>
    <t xml:space="preserve">Malawi</t>
  </si>
  <si>
    <t xml:space="preserve">FW</t>
  </si>
  <si>
    <t xml:space="preserve">https://sabrenow.sharepoint.com/teams/ACD/FLT/FPM/dataservices/CD AIP Library/Forms/AllItems.aspx?viewid=997f0975-16c6-4799-82e6-f689780367dc&amp;id=%2Fteams%2FACD%2FFLT%2FFPM%2Fdataservices%2FCD%20AIP%20Library%2FMalawi</t>
  </si>
  <si>
    <t xml:space="preserve">Mauritius</t>
  </si>
  <si>
    <t xml:space="preserve">FI</t>
  </si>
  <si>
    <t xml:space="preserve">https://civil-aviation.govmu.org/Pages/ANSPUBLICATION.aspx</t>
  </si>
  <si>
    <t xml:space="preserve">Mayotte (France)</t>
  </si>
  <si>
    <t xml:space="preserve">https://www.sia.aviation-civile.gouv.fr/documents/htmlshow?f=dvd/eAIP_22_APR_2021/RUN/home.html</t>
  </si>
  <si>
    <t xml:space="preserve">Morocco</t>
  </si>
  <si>
    <t xml:space="preserve">GM</t>
  </si>
  <si>
    <t xml:space="preserve">http://siamaroc.onda.ma/</t>
  </si>
  <si>
    <t xml:space="preserve">Mozambique</t>
  </si>
  <si>
    <t xml:space="preserve">FQ</t>
  </si>
  <si>
    <t xml:space="preserve">Namibia</t>
  </si>
  <si>
    <t xml:space="preserve">FY</t>
  </si>
  <si>
    <t xml:space="preserve">http://www.ncaa.com.na/</t>
  </si>
  <si>
    <t xml:space="preserve">Nigeria</t>
  </si>
  <si>
    <t xml:space="preserve">DN</t>
  </si>
  <si>
    <t xml:space="preserve">https://onedrive.live.com/?authkey=%21AGmKjbKAEn8UWAk&amp;id=47C41E5DE921EC9D%2136542&amp;cid=47C41E5DE921EC9D</t>
  </si>
  <si>
    <t xml:space="preserve">Reunion</t>
  </si>
  <si>
    <t xml:space="preserve">Robert'S Fir-Guinea, Liberia, Sierra Leone</t>
  </si>
  <si>
    <t xml:space="preserve">GU, GL, GF</t>
  </si>
  <si>
    <t xml:space="preserve">http://www.robertsfir.org/aip.html</t>
  </si>
  <si>
    <t xml:space="preserve">Saint Helena,Ascension And Tristan Da Cunha</t>
  </si>
  <si>
    <t xml:space="preserve">FH</t>
  </si>
  <si>
    <t xml:space="preserve">https://atns.com/products-services/aim/aeronautical-information-managementst-helena-airport/7448/</t>
  </si>
  <si>
    <t xml:space="preserve">Sao Toma And Principe</t>
  </si>
  <si>
    <t xml:space="preserve">FP</t>
  </si>
  <si>
    <t xml:space="preserve">https://www.inac.st/</t>
  </si>
  <si>
    <t xml:space="preserve">Seychelles</t>
  </si>
  <si>
    <t xml:space="preserve">FS</t>
  </si>
  <si>
    <t xml:space="preserve">https://www.scaa.sc/</t>
  </si>
  <si>
    <t xml:space="preserve">Somalia</t>
  </si>
  <si>
    <t xml:space="preserve">HC</t>
  </si>
  <si>
    <t xml:space="preserve">http://aip.scaa.gov.so/</t>
  </si>
  <si>
    <t xml:space="preserve">South Africa</t>
  </si>
  <si>
    <t xml:space="preserve">FA</t>
  </si>
  <si>
    <t xml:space="preserve">https://www.caa.co.za/industry-information/aeronautical-information/</t>
  </si>
  <si>
    <t xml:space="preserve">South Sudan</t>
  </si>
  <si>
    <t xml:space="preserve">HJ</t>
  </si>
  <si>
    <t xml:space="preserve">https://sscaa.gov.ss/publications/aip/</t>
  </si>
  <si>
    <t xml:space="preserve">Sudan</t>
  </si>
  <si>
    <t xml:space="preserve">HS</t>
  </si>
  <si>
    <t xml:space="preserve">https://scaa-ais.sd/</t>
  </si>
  <si>
    <t xml:space="preserve">Tanzania</t>
  </si>
  <si>
    <t xml:space="preserve">HT</t>
  </si>
  <si>
    <t xml:space="preserve">http://www.tcaa.go.tz/</t>
  </si>
  <si>
    <t xml:space="preserve">Tunisia</t>
  </si>
  <si>
    <t xml:space="preserve">DT</t>
  </si>
  <si>
    <t xml:space="preserve">https://www.oaca.nat.tn/web/sia/aip</t>
  </si>
  <si>
    <t xml:space="preserve">Uganda</t>
  </si>
  <si>
    <t xml:space="preserve">HU</t>
  </si>
  <si>
    <t xml:space="preserve">https://aim.caa.co.ug/</t>
  </si>
  <si>
    <t xml:space="preserve">Uk Indian Ocean</t>
  </si>
  <si>
    <t xml:space="preserve">FJ</t>
  </si>
  <si>
    <t xml:space="preserve">https://nfdc.faa.gov/nfdcApps/services/ajv5/airportDisplay.jsp?airportId=fjdg</t>
  </si>
  <si>
    <t xml:space="preserve">Zambia</t>
  </si>
  <si>
    <t xml:space="preserve">FL</t>
  </si>
  <si>
    <t xml:space="preserve">https://www.zacl.co.zm/corporate/air-navigation-2/aeronautical-information-services</t>
  </si>
  <si>
    <t xml:space="preserve">Zimbabwe</t>
  </si>
  <si>
    <t xml:space="preserve">FV</t>
  </si>
  <si>
    <t xml:space="preserve">http://www.caaz.co.zw/</t>
  </si>
  <si>
    <t xml:space="preserve">Afghanistan</t>
  </si>
  <si>
    <t xml:space="preserve">OA</t>
  </si>
  <si>
    <t xml:space="preserve">https://www.afgais.com/</t>
  </si>
  <si>
    <t xml:space="preserve">Bahrain</t>
  </si>
  <si>
    <t xml:space="preserve">OB</t>
  </si>
  <si>
    <t xml:space="preserve">https://aim.mtt.gov.bh/</t>
  </si>
  <si>
    <t xml:space="preserve">Iran</t>
  </si>
  <si>
    <t xml:space="preserve">OI</t>
  </si>
  <si>
    <t xml:space="preserve">https://ais.airport.ir/</t>
  </si>
  <si>
    <t xml:space="preserve">Iraq</t>
  </si>
  <si>
    <t xml:space="preserve">OR</t>
  </si>
  <si>
    <t xml:space="preserve">https://gcaan.gov.iq/index.php?name=Pages&amp;op=page&amp;pid=131</t>
  </si>
  <si>
    <t xml:space="preserve">Israel</t>
  </si>
  <si>
    <t xml:space="preserve">LL</t>
  </si>
  <si>
    <t xml:space="preserve">https://www.gov.il/en/Departments/General/electronic-aip</t>
  </si>
  <si>
    <t xml:space="preserve">Jordan</t>
  </si>
  <si>
    <t xml:space="preserve">OJ</t>
  </si>
  <si>
    <t xml:space="preserve">https://carc.gov.jo/index.php/en</t>
  </si>
  <si>
    <t xml:space="preserve">Kuwait</t>
  </si>
  <si>
    <t xml:space="preserve">OK</t>
  </si>
  <si>
    <t xml:space="preserve">https://dgca.gov.kw/AIP</t>
  </si>
  <si>
    <t xml:space="preserve">Lebanon</t>
  </si>
  <si>
    <t xml:space="preserve">OL</t>
  </si>
  <si>
    <t xml:space="preserve">http://www.beirutairport.gov.lb/zip/</t>
  </si>
  <si>
    <t xml:space="preserve">Oman</t>
  </si>
  <si>
    <t xml:space="preserve">OO</t>
  </si>
  <si>
    <t xml:space="preserve">https://aim.caa.gov.om/</t>
  </si>
  <si>
    <t xml:space="preserve">Pakistan</t>
  </si>
  <si>
    <t xml:space="preserve">OP</t>
  </si>
  <si>
    <t xml:space="preserve">https://paa.gov.pk/</t>
  </si>
  <si>
    <t xml:space="preserve">Qatar</t>
  </si>
  <si>
    <t xml:space="preserve">OT</t>
  </si>
  <si>
    <t xml:space="preserve">https://www.caa.gov.qa/en/aeronautical-information-management</t>
  </si>
  <si>
    <t xml:space="preserve">Saudi Arabia</t>
  </si>
  <si>
    <t xml:space="preserve">OE</t>
  </si>
  <si>
    <t xml:space="preserve">https://aimss.sans.com.sa/home?d=1773468011110</t>
  </si>
  <si>
    <t xml:space="preserve">Syria</t>
  </si>
  <si>
    <t xml:space="preserve">OS</t>
  </si>
  <si>
    <t xml:space="preserve">https://sabrenow.sharepoint.com/teams/ACD/FLT/FPM/dataservices/CD AIP Library/Forms/AllItems.aspx?RootFolder=/teams/ACD/FLT/FPM/dataservices/CD%20AIP%20Library/Syria&amp;FolderCTID=0x012000DEC3943701FB2F41AC4CDC17190A1232&amp;View=%7b94</t>
  </si>
  <si>
    <t xml:space="preserve">United Arab Emirates</t>
  </si>
  <si>
    <t xml:space="preserve">OM</t>
  </si>
  <si>
    <t xml:space="preserve">http://www.gcaa.gov.ae/en/ais/pages/default.aspx</t>
  </si>
  <si>
    <t xml:space="preserve">Yemen</t>
  </si>
  <si>
    <t xml:space="preserve">OY</t>
  </si>
  <si>
    <t xml:space="preserve">http://www.cama.gov.ye/</t>
  </si>
  <si>
    <t xml:space="preserve">American Samoa</t>
  </si>
  <si>
    <t xml:space="preserve">NS</t>
  </si>
  <si>
    <t xml:space="preserve">https://www.faa.gov/air_traffic/flight_info/aeronav/digital_products/dafd/search/</t>
  </si>
  <si>
    <t xml:space="preserve">Australia</t>
  </si>
  <si>
    <t xml:space="preserve">YX</t>
  </si>
  <si>
    <t xml:space="preserve">http://www.airservicesaustralia.com/publications/aip.asp</t>
  </si>
  <si>
    <t xml:space="preserve">Bangladesh</t>
  </si>
  <si>
    <t xml:space="preserve">VG</t>
  </si>
  <si>
    <t xml:space="preserve">http://www.caab.gov.bd/aip/</t>
  </si>
  <si>
    <t xml:space="preserve">Bhutan</t>
  </si>
  <si>
    <t xml:space="preserve">VQ</t>
  </si>
  <si>
    <t xml:space="preserve">https://www.doat.gov.bt/aip/</t>
  </si>
  <si>
    <t xml:space="preserve">Brunei Darussalam</t>
  </si>
  <si>
    <t xml:space="preserve">WB</t>
  </si>
  <si>
    <t xml:space="preserve">https://urldefense.proofpoint.com/v2/url?u=http-3A__www.dca.gov.bn&amp;d=DwMFAw&amp;c=FXJfUb1oWgygD0uNz-ujnA&amp;r=Jq9dYunpWzIM1loTu7q5-E-aitH0_5DKIt1gxiYrSEo&amp;m=SEu3LW0PFmmGkvqTojoV5tnMYinQsb-kJy14mPKeEWo&amp;s=EXuCkjm8evR5fDu4IBWnCWxu1jxutAjMaYB1TVBlIAY&amp;e=</t>
  </si>
  <si>
    <t xml:space="preserve">Cambodia</t>
  </si>
  <si>
    <t xml:space="preserve">VD</t>
  </si>
  <si>
    <t xml:space="preserve">https://aim.cats.com.kh/eaip.html</t>
  </si>
  <si>
    <t xml:space="preserve">China</t>
  </si>
  <si>
    <t xml:space="preserve">ZX</t>
  </si>
  <si>
    <t xml:space="preserve">https://www.eaipchina.cn/</t>
  </si>
  <si>
    <t xml:space="preserve">Cook Islands</t>
  </si>
  <si>
    <t xml:space="preserve">NC</t>
  </si>
  <si>
    <t xml:space="preserve">https://www.transport.gov.ck/aviation-2/aeronautical-information-publication/</t>
  </si>
  <si>
    <t xml:space="preserve">East Timor</t>
  </si>
  <si>
    <t xml:space="preserve">WP</t>
  </si>
  <si>
    <t xml:space="preserve">https://aactl.gov.tl/aip-list</t>
  </si>
  <si>
    <t xml:space="preserve">Fiji</t>
  </si>
  <si>
    <t xml:space="preserve">NF</t>
  </si>
  <si>
    <t xml:space="preserve">http://airportsfiji.com/ais-fiji/wp-login.php?redirect_to=http%3A%2F%2Fairportsfiji.com%2Fais-fiji</t>
  </si>
  <si>
    <t xml:space="preserve">French Polinesia</t>
  </si>
  <si>
    <t xml:space="preserve">NT</t>
  </si>
  <si>
    <t xml:space="preserve">https://www.sia.aviation-civile.gouv.fr/documents/htmlshow?f=dvd/eAIP_20_MAY_2021/PAC-P/home.html</t>
  </si>
  <si>
    <t xml:space="preserve">Hongkong</t>
  </si>
  <si>
    <t xml:space="preserve">VH</t>
  </si>
  <si>
    <t xml:space="preserve">http://www.ais.gov.hk/</t>
  </si>
  <si>
    <t xml:space="preserve">India</t>
  </si>
  <si>
    <t xml:space="preserve">VA, VE, VI, VO</t>
  </si>
  <si>
    <t xml:space="preserve">https://aim-india.aai.aero/</t>
  </si>
  <si>
    <t xml:space="preserve">Indonesia</t>
  </si>
  <si>
    <t xml:space="preserve">WA, WI</t>
  </si>
  <si>
    <t xml:space="preserve">https://iwish.kemenhub.go.id/e-aip/modul</t>
  </si>
  <si>
    <t xml:space="preserve">Japan (Japan Territory Area)</t>
  </si>
  <si>
    <t xml:space="preserve">RJ &amp; RO</t>
  </si>
  <si>
    <t xml:space="preserve">https://web.swim.mlit.go.jp/service/inuse-servicedetails/details/S2002</t>
  </si>
  <si>
    <t xml:space="preserve">Laos</t>
  </si>
  <si>
    <t xml:space="preserve">VL</t>
  </si>
  <si>
    <t xml:space="preserve">http://www.mpwt.gov.la/en/</t>
  </si>
  <si>
    <t xml:space="preserve">Macau</t>
  </si>
  <si>
    <t xml:space="preserve">VM</t>
  </si>
  <si>
    <t xml:space="preserve">https://www.aacm.gov.mo/en/industry-page/DataCompilation/AIP</t>
  </si>
  <si>
    <t xml:space="preserve">Malaysia</t>
  </si>
  <si>
    <t xml:space="preserve">WM, WB</t>
  </si>
  <si>
    <t xml:space="preserve">https://aip.caam.gov.my/aip/eAIP/history-en-MS.html</t>
  </si>
  <si>
    <t xml:space="preserve">Maldives</t>
  </si>
  <si>
    <t xml:space="preserve">VR</t>
  </si>
  <si>
    <t xml:space="preserve">https://www.macl.aero/corporate/services/operational/ans/</t>
  </si>
  <si>
    <t xml:space="preserve">Mongolia</t>
  </si>
  <si>
    <t xml:space="preserve">ZM</t>
  </si>
  <si>
    <t xml:space="preserve">https://www.ais.mn/index</t>
  </si>
  <si>
    <t xml:space="preserve">Myanmar</t>
  </si>
  <si>
    <t xml:space="preserve">VY</t>
  </si>
  <si>
    <t xml:space="preserve">http://www.ais.gov.mm/</t>
  </si>
  <si>
    <t xml:space="preserve">Nepal</t>
  </si>
  <si>
    <t xml:space="preserve">VN</t>
  </si>
  <si>
    <t xml:space="preserve">http://e-aip.caanepal.gov.np/</t>
  </si>
  <si>
    <t xml:space="preserve">New Caledonia (France)</t>
  </si>
  <si>
    <t xml:space="preserve">NW</t>
  </si>
  <si>
    <t xml:space="preserve">https://www.sia.aviation-civile.gouv.fr/</t>
  </si>
  <si>
    <t xml:space="preserve">New Zealand</t>
  </si>
  <si>
    <t xml:space="preserve">NZ</t>
  </si>
  <si>
    <t xml:space="preserve">http://www.aip.net.nz/</t>
  </si>
  <si>
    <t xml:space="preserve">North Korea</t>
  </si>
  <si>
    <t xml:space="preserve">ZK</t>
  </si>
  <si>
    <t xml:space="preserve">Papua New Guinea</t>
  </si>
  <si>
    <t xml:space="preserve">AY</t>
  </si>
  <si>
    <t xml:space="preserve">https://www.niuskypacific.com.pg/home/ais-publications/</t>
  </si>
  <si>
    <t xml:space="preserve">Philippines</t>
  </si>
  <si>
    <t xml:space="preserve">RP</t>
  </si>
  <si>
    <t xml:space="preserve">http://www.caap.gov.ph/</t>
  </si>
  <si>
    <t xml:space="preserve">Singapore</t>
  </si>
  <si>
    <t xml:space="preserve">WS</t>
  </si>
  <si>
    <t xml:space="preserve">https://www.caas.gov.sg/legislation-regulations/guidelines-advisory/air-navigation-services/aeronautical-information-publication-amendments</t>
  </si>
  <si>
    <t xml:space="preserve">South Korea</t>
  </si>
  <si>
    <t xml:space="preserve">RK</t>
  </si>
  <si>
    <t xml:space="preserve">https://aim.koca.go.kr/</t>
  </si>
  <si>
    <t xml:space="preserve">Sri Lanka</t>
  </si>
  <si>
    <t xml:space="preserve">VC</t>
  </si>
  <si>
    <t xml:space="preserve">https://www.aimsrilanka.lk</t>
  </si>
  <si>
    <t xml:space="preserve">Taiwan</t>
  </si>
  <si>
    <t xml:space="preserve">RC</t>
  </si>
  <si>
    <t xml:space="preserve">https://ais.caa.gov.tw</t>
  </si>
  <si>
    <t xml:space="preserve">Thailand</t>
  </si>
  <si>
    <t xml:space="preserve">VT</t>
  </si>
  <si>
    <t xml:space="preserve">https://ais.caat.or.th/</t>
  </si>
  <si>
    <t xml:space="preserve">Vietnam</t>
  </si>
  <si>
    <t xml:space="preserve">VV</t>
  </si>
  <si>
    <t xml:space="preserve">https://aim.vatm.vn/images/stories/vnaic.vn/SanPhamDichVu/AIPVietNam/AIP/history-en-GB.html</t>
  </si>
  <si>
    <t xml:space="preserve">Wallis And Futana Islands</t>
  </si>
  <si>
    <t xml:space="preserve">NL</t>
  </si>
  <si>
    <t xml:space="preserve">Kiribati</t>
  </si>
  <si>
    <t xml:space="preserve">NG</t>
  </si>
  <si>
    <t xml:space="preserve">https://shop.aeropath.aero/search?type=product&amp;q=kiribati</t>
  </si>
  <si>
    <t xml:space="preserve">Commercial e-commerce storefront (AeroPath) selling AIP as a product</t>
  </si>
  <si>
    <t xml:space="preserve">Nauru</t>
  </si>
  <si>
    <t xml:space="preserve">AN</t>
  </si>
  <si>
    <t xml:space="preserve">https://shop.aeropath.aero/collections/nauru</t>
  </si>
  <si>
    <t xml:space="preserve">Niue</t>
  </si>
  <si>
    <t xml:space="preserve">NI</t>
  </si>
  <si>
    <t xml:space="preserve">https://shop.aeropath.aero/collections/nuie</t>
  </si>
  <si>
    <t xml:space="preserve">Samoa</t>
  </si>
  <si>
    <t xml:space="preserve">https://shop.aeropath.aero/collections/samoa</t>
  </si>
  <si>
    <t xml:space="preserve">Solomon Islands</t>
  </si>
  <si>
    <t xml:space="preserve">AG</t>
  </si>
  <si>
    <t xml:space="preserve">https://shop.aeropath.aero/</t>
  </si>
  <si>
    <t xml:space="preserve">Tonga</t>
  </si>
  <si>
    <t xml:space="preserve">https://shop.aeropath.aero/collections/tonga</t>
  </si>
  <si>
    <t xml:space="preserve">Tuvalu</t>
  </si>
  <si>
    <t xml:space="preserve">https://shop.aeropath.aero/collections/the-pacific-aip</t>
  </si>
  <si>
    <t xml:space="preserve">Vanutau</t>
  </si>
  <si>
    <t xml:space="preserve">NV</t>
  </si>
  <si>
    <t xml:space="preserve">https://shop.aeropath.aero/collections/vanuatu</t>
  </si>
  <si>
    <t xml:space="preserve">Argentina</t>
  </si>
  <si>
    <t xml:space="preserve">SA</t>
  </si>
  <si>
    <t xml:space="preserve">https://ais.anac.gob.ar/aip</t>
  </si>
  <si>
    <t xml:space="preserve">Bolivia</t>
  </si>
  <si>
    <t xml:space="preserve">SL</t>
  </si>
  <si>
    <t xml:space="preserve">http://aasana.bo/boletin</t>
  </si>
  <si>
    <t xml:space="preserve">Brazil</t>
  </si>
  <si>
    <t xml:space="preserve">SB</t>
  </si>
  <si>
    <t xml:space="preserve">https://aisweb.decea.gov.br/</t>
  </si>
  <si>
    <t xml:space="preserve">Chile</t>
  </si>
  <si>
    <t xml:space="preserve">SC</t>
  </si>
  <si>
    <t xml:space="preserve">https://aipchile.dgac.gob.cl/</t>
  </si>
  <si>
    <t xml:space="preserve">Colombia</t>
  </si>
  <si>
    <t xml:space="preserve">SK</t>
  </si>
  <si>
    <t xml:space="preserve">https://www.aerocivil.gov.co/proveedor_servicios/</t>
  </si>
  <si>
    <t xml:space="preserve">Ecuador</t>
  </si>
  <si>
    <t xml:space="preserve">SE</t>
  </si>
  <si>
    <t xml:space="preserve">http://www.ais.aviacioncivil.gob.ec/ifis3/</t>
  </si>
  <si>
    <t xml:space="preserve">French Guiana</t>
  </si>
  <si>
    <t xml:space="preserve">SO</t>
  </si>
  <si>
    <t xml:space="preserve">Guyana</t>
  </si>
  <si>
    <t xml:space="preserve">SY</t>
  </si>
  <si>
    <t xml:space="preserve">Martinique(France)</t>
  </si>
  <si>
    <t xml:space="preserve">Panama</t>
  </si>
  <si>
    <t xml:space="preserve">MP</t>
  </si>
  <si>
    <t xml:space="preserve">https://www.aeronautica.gob.pa/AIS-AIP</t>
  </si>
  <si>
    <t xml:space="preserve">Paraguay</t>
  </si>
  <si>
    <t xml:space="preserve">SG</t>
  </si>
  <si>
    <t xml:space="preserve">https://www.dinac.gov.py/v3/index.php/ais/aip-paraguay</t>
  </si>
  <si>
    <t xml:space="preserve">Peru</t>
  </si>
  <si>
    <t xml:space="preserve">SP</t>
  </si>
  <si>
    <t xml:space="preserve">http://extranet.corpac.gob.pe/sso/</t>
  </si>
  <si>
    <t xml:space="preserve">Suriname</t>
  </si>
  <si>
    <t xml:space="preserve">SM</t>
  </si>
  <si>
    <t xml:space="preserve">https://cadsur.sr/ais/</t>
  </si>
  <si>
    <t xml:space="preserve">Uruguay</t>
  </si>
  <si>
    <t xml:space="preserve">SU</t>
  </si>
  <si>
    <t xml:space="preserve">https://www.dinacia.gub.uy/</t>
  </si>
  <si>
    <t xml:space="preserve">Venezuela</t>
  </si>
  <si>
    <t xml:space="preserve">SV</t>
  </si>
  <si>
    <t xml:space="preserve">http://www.inac.gob.ve/eaip/history-en-GB.html</t>
  </si>
  <si>
    <t xml:space="preserve">Action List — States That Need Manual Research</t>
  </si>
  <si>
    <t xml:space="preserve">No source on file, or the link on file looks internal/restricted rather than an official public AIS site.</t>
  </si>
  <si>
    <t xml:space="preserve">Issue / URL on File</t>
  </si>
  <si>
    <t xml:space="preserve">Suggested Next Step</t>
  </si>
  <si>
    <t xml:space="preserve">Register/log in once manually to confirm whether access is free or paid before building a connector.</t>
  </si>
  <si>
    <t xml:space="preserve">(none on file)</t>
  </si>
  <si>
    <t xml:space="preserve">Search the state's civil aviation authority / ANSP website directly; check the Embry-Riddle "Electronic AIPs by Country" directory or EUROCONTROL's eAIP list as a starting point.</t>
  </si>
  <si>
    <t xml:space="preserve">This looks like an internal file share, not the official public AIS site. Find and substitute the real state AIS URL.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</si>
</sst>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D9D9"/>
      </patternFill>
    </fill>
    <fill>
      <patternFill patternType="solid">
        <fgColor rgb="FFEAF4E4"/>
        <bgColor rgb="FFD9EAD3"/>
      </patternFill>
    </fill>
    <fill>
      <patternFill patternType="solid">
        <fgColor rgb="FFFFF2CC"/>
        <bgColor rgb="FFEAF4E4"/>
      </patternFill>
    </fill>
    <fill>
      <patternFill patternType="solid">
        <fgColor rgb="FFF4CCCC"/>
        <bgColor rgb="FFD9D9D9"/>
      </patternFill>
    </fill>
    <fill>
      <patternFill patternType="solid">
        <fgColor rgb="FFD9D9D9"/>
        <bgColor rgb="FFD9EAD3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F4E4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EAF4E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States by Access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Dashboard'!C14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Dashboard'!$B$15:$B$20</c:f>
              <c:strCache>
                <c:ptCount val="6"/>
                <c:pt idx="0">
                  <c:v>FREE (Verified)</c:v>
                </c:pt>
                <c:pt idx="1">
                  <c:v>LIKELY FREE (Unverified)</c:v>
                </c:pt>
                <c:pt idx="2">
                  <c:v>LOGIN REQUIRED - VERIFY</c:v>
                </c:pt>
                <c:pt idx="3">
                  <c:v>PAID</c:v>
                </c:pt>
                <c:pt idx="4">
                  <c:v>RESTRICTED / INTERNAL - VERIFY</c:v>
                </c:pt>
                <c:pt idx="5">
                  <c:v>NO SOURCE FOUND</c:v>
                </c:pt>
              </c:strCache>
            </c:strRef>
          </c:cat>
          <c:val>
            <c:numRef>
              <c:f>'Summary Dashboard'!$C$15:$C$20</c:f>
              <c:numCache>
                <c:formatCode>General</c:formatCode>
                <c:ptCount val="6"/>
                <c:pt idx="0">
                  <c:v>62</c:v>
                </c:pt>
                <c:pt idx="1">
                  <c:v>134</c:v>
                </c:pt>
                <c:pt idx="2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</c:ser>
        <c:gapWidth val="150"/>
        <c:overlap val="0"/>
        <c:axId val="31062545"/>
        <c:axId val="91461887"/>
      </c:barChart>
      <c:catAx>
        <c:axId val="31062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1887"/>
        <c:crosses val="autoZero"/>
        <c:auto val="1"/>
        <c:lblAlgn val="ctr"/>
        <c:lblOffset val="100"/>
        <c:noMultiLvlLbl val="0"/>
      </c:catAx>
      <c:valAx>
        <c:axId val="91461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62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172080</xdr:rowOff>
    </xdr:from>
    <xdr:to>
      <xdr:col>13</xdr:col>
      <xdr:colOff>164880</xdr:colOff>
      <xdr:row>26</xdr:row>
      <xdr:rowOff>3600</xdr:rowOff>
    </xdr:to>
    <xdr:graphicFrame>
      <xdr:nvGraphicFramePr>
        <xdr:cNvPr id="0" name="Chart 1"/>
        <xdr:cNvGraphicFramePr/>
      </xdr:nvGraphicFramePr>
      <xdr:xfrm>
        <a:off x="5145480" y="2286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B6" s="3" t="s">
        <v>2</v>
      </c>
    </row>
    <row r="9" customFormat="false" ht="15" hidden="false" customHeight="false" outlineLevel="0" collapsed="false">
      <c r="B9" s="3" t="s">
        <v>3</v>
      </c>
    </row>
    <row r="10" customFormat="false" ht="30" hidden="false" customHeight="true" outlineLevel="0" collapsed="false">
      <c r="B10" s="4" t="s">
        <v>4</v>
      </c>
      <c r="C10" s="5" t="s">
        <v>5</v>
      </c>
      <c r="D10" s="5"/>
      <c r="E10" s="5"/>
      <c r="F10" s="5"/>
      <c r="G10" s="5"/>
      <c r="H10" s="5"/>
    </row>
    <row r="11" customFormat="false" ht="30" hidden="false" customHeight="true" outlineLevel="0" collapsed="false">
      <c r="B11" s="4" t="s">
        <v>6</v>
      </c>
      <c r="C11" s="5" t="s">
        <v>7</v>
      </c>
      <c r="D11" s="5"/>
      <c r="E11" s="5"/>
      <c r="F11" s="5"/>
      <c r="G11" s="5"/>
      <c r="H11" s="5"/>
    </row>
    <row r="12" customFormat="false" ht="45" hidden="false" customHeight="true" outlineLevel="0" collapsed="false">
      <c r="B12" s="4" t="s">
        <v>8</v>
      </c>
      <c r="C12" s="5" t="s">
        <v>9</v>
      </c>
      <c r="D12" s="5"/>
      <c r="E12" s="5"/>
      <c r="F12" s="5"/>
      <c r="G12" s="5"/>
      <c r="H12" s="5"/>
    </row>
    <row r="13" customFormat="false" ht="45" hidden="false" customHeight="true" outlineLevel="0" collapsed="false">
      <c r="B13" s="4" t="s">
        <v>10</v>
      </c>
      <c r="C13" s="5" t="s">
        <v>11</v>
      </c>
      <c r="D13" s="5"/>
      <c r="E13" s="5"/>
      <c r="F13" s="5"/>
      <c r="G13" s="5"/>
      <c r="H13" s="5"/>
    </row>
    <row r="14" customFormat="false" ht="45" hidden="false" customHeight="true" outlineLevel="0" collapsed="false">
      <c r="B14" s="4" t="s">
        <v>12</v>
      </c>
      <c r="C14" s="5" t="s">
        <v>13</v>
      </c>
      <c r="D14" s="5"/>
      <c r="E14" s="5"/>
      <c r="F14" s="5"/>
      <c r="G14" s="5"/>
      <c r="H14" s="5"/>
    </row>
    <row r="16" customFormat="false" ht="15" hidden="false" customHeight="false" outlineLevel="0" collapsed="false">
      <c r="B16" s="3" t="s">
        <v>14</v>
      </c>
    </row>
    <row r="17" customFormat="false" ht="30" hidden="false" customHeight="true" outlineLevel="0" collapsed="false">
      <c r="B17" s="4" t="s">
        <v>15</v>
      </c>
      <c r="C17" s="5" t="s">
        <v>16</v>
      </c>
      <c r="D17" s="5"/>
      <c r="E17" s="5"/>
      <c r="F17" s="5"/>
      <c r="G17" s="5"/>
      <c r="H17" s="5"/>
    </row>
    <row r="18" customFormat="false" ht="45" hidden="false" customHeight="true" outlineLevel="0" collapsed="false">
      <c r="B18" s="4" t="s">
        <v>17</v>
      </c>
      <c r="C18" s="5" t="s">
        <v>18</v>
      </c>
      <c r="D18" s="5"/>
      <c r="E18" s="5"/>
      <c r="F18" s="5"/>
      <c r="G18" s="5"/>
      <c r="H18" s="5"/>
    </row>
    <row r="19" customFormat="false" ht="45" hidden="false" customHeight="true" outlineLevel="0" collapsed="false">
      <c r="B19" s="4" t="s">
        <v>19</v>
      </c>
      <c r="C19" s="5" t="s">
        <v>20</v>
      </c>
      <c r="D19" s="5"/>
      <c r="E19" s="5"/>
      <c r="F19" s="5"/>
      <c r="G19" s="5"/>
      <c r="H19" s="5"/>
    </row>
    <row r="20" customFormat="false" ht="30" hidden="false" customHeight="true" outlineLevel="0" collapsed="false">
      <c r="B20" s="4" t="s">
        <v>21</v>
      </c>
      <c r="C20" s="5" t="s">
        <v>22</v>
      </c>
      <c r="D20" s="5"/>
      <c r="E20" s="5"/>
      <c r="F20" s="5"/>
      <c r="G20" s="5"/>
      <c r="H20" s="5"/>
    </row>
    <row r="21" customFormat="false" ht="45" hidden="false" customHeight="true" outlineLevel="0" collapsed="false">
      <c r="B21" s="4" t="s">
        <v>23</v>
      </c>
      <c r="C21" s="5" t="s">
        <v>24</v>
      </c>
      <c r="D21" s="5"/>
      <c r="E21" s="5"/>
      <c r="F21" s="5"/>
      <c r="G21" s="5"/>
      <c r="H21" s="5"/>
    </row>
    <row r="22" customFormat="false" ht="30" hidden="false" customHeight="true" outlineLevel="0" collapsed="false">
      <c r="B22" s="4" t="s">
        <v>25</v>
      </c>
      <c r="C22" s="5" t="s">
        <v>26</v>
      </c>
      <c r="D22" s="5"/>
      <c r="E22" s="5"/>
      <c r="F22" s="5"/>
      <c r="G22" s="5"/>
      <c r="H22" s="5"/>
    </row>
    <row r="24" customFormat="false" ht="15" hidden="false" customHeight="false" outlineLevel="0" collapsed="false">
      <c r="B24" s="3" t="s">
        <v>27</v>
      </c>
    </row>
    <row r="27" customFormat="false" ht="15" hidden="false" customHeight="false" outlineLevel="0" collapsed="false">
      <c r="B27" s="3" t="s">
        <v>28</v>
      </c>
    </row>
  </sheetData>
  <mergeCells count="13">
    <mergeCell ref="B2:H2"/>
    <mergeCell ref="B3:H3"/>
    <mergeCell ref="C10:H10"/>
    <mergeCell ref="C11:H11"/>
    <mergeCell ref="C12:H12"/>
    <mergeCell ref="C13:H13"/>
    <mergeCell ref="C14:H14"/>
    <mergeCell ref="C17:H17"/>
    <mergeCell ref="C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29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30</v>
      </c>
      <c r="C3" s="2"/>
      <c r="D3" s="2"/>
      <c r="E3" s="2"/>
      <c r="F3" s="2"/>
      <c r="G3" s="2"/>
      <c r="H3" s="2"/>
    </row>
    <row r="6" customFormat="false" ht="17.35" hidden="false" customHeight="false" outlineLevel="0" collapsed="false">
      <c r="B6" s="4" t="s">
        <v>31</v>
      </c>
      <c r="D6" s="6" t="n">
        <f aca="false">COUNTA('Master Inventory'!B2:B221)</f>
        <v>220</v>
      </c>
    </row>
    <row r="7" customFormat="false" ht="17.35" hidden="false" customHeight="false" outlineLevel="0" collapsed="false">
      <c r="B7" s="4" t="s">
        <v>32</v>
      </c>
      <c r="D7" s="6" t="n">
        <f aca="false">COUNTIF('Master Inventory'!F2:F221,"FREE (Verified)")+COUNTIF('Master Inventory'!F2:F221,"LIKELY FREE (Unverified)")</f>
        <v>196</v>
      </c>
    </row>
    <row r="8" customFormat="false" ht="17.35" hidden="false" customHeight="false" outlineLevel="0" collapsed="false">
      <c r="B8" s="4" t="s">
        <v>33</v>
      </c>
      <c r="D8" s="6" t="n">
        <f aca="false">COUNTIF('Master Inventory'!F2:F221,"PAID")</f>
        <v>8</v>
      </c>
    </row>
    <row r="9" customFormat="false" ht="17.35" hidden="false" customHeight="false" outlineLevel="0" collapsed="false">
      <c r="B9" s="4" t="s">
        <v>34</v>
      </c>
      <c r="D9" s="6" t="n">
        <f aca="false">COUNTIF('Master Inventory'!F2:F221,"NO SOURCE FOUND")+COUNTIF('Master Inventory'!F2:F221,"RESTRICTED / INTERNAL - VERIFY")</f>
        <v>12</v>
      </c>
    </row>
    <row r="10" customFormat="false" ht="17.35" hidden="false" customHeight="false" outlineLevel="0" collapsed="false">
      <c r="B10" s="4" t="s">
        <v>35</v>
      </c>
      <c r="D10" s="6" t="n">
        <f aca="false">COUNTIF('Master Inventory'!F2:F221,"LOGIN REQUIRED - VERIFY")</f>
        <v>4</v>
      </c>
    </row>
    <row r="13" customFormat="false" ht="15" hidden="false" customHeight="false" outlineLevel="0" collapsed="false">
      <c r="B13" s="3" t="s">
        <v>36</v>
      </c>
    </row>
    <row r="14" customFormat="false" ht="15" hidden="false" customHeight="false" outlineLevel="0" collapsed="false">
      <c r="B14" s="4" t="s">
        <v>37</v>
      </c>
      <c r="C14" s="4" t="s">
        <v>38</v>
      </c>
    </row>
    <row r="15" customFormat="false" ht="15" hidden="false" customHeight="false" outlineLevel="0" collapsed="false">
      <c r="B15" s="7" t="s">
        <v>15</v>
      </c>
      <c r="C15" s="8" t="n">
        <f aca="false">COUNTIF('Master Inventory'!F2:F221,"FREE (Verified)")</f>
        <v>62</v>
      </c>
    </row>
    <row r="16" customFormat="false" ht="15" hidden="false" customHeight="false" outlineLevel="0" collapsed="false">
      <c r="B16" s="9" t="s">
        <v>17</v>
      </c>
      <c r="C16" s="8" t="n">
        <f aca="false">COUNTIF('Master Inventory'!F2:F221,"LIKELY FREE (Unverified)")</f>
        <v>134</v>
      </c>
    </row>
    <row r="17" customFormat="false" ht="15" hidden="false" customHeight="false" outlineLevel="0" collapsed="false">
      <c r="B17" s="10" t="s">
        <v>19</v>
      </c>
      <c r="C17" s="8" t="n">
        <f aca="false">COUNTIF('Master Inventory'!F2:F221,"LOGIN REQUIRED - VERIFY")</f>
        <v>4</v>
      </c>
    </row>
    <row r="18" customFormat="false" ht="15" hidden="false" customHeight="false" outlineLevel="0" collapsed="false">
      <c r="B18" s="11" t="s">
        <v>21</v>
      </c>
      <c r="C18" s="8" t="n">
        <f aca="false">COUNTIF('Master Inventory'!F2:F221,"PAID")</f>
        <v>8</v>
      </c>
    </row>
    <row r="19" customFormat="false" ht="15" hidden="false" customHeight="false" outlineLevel="0" collapsed="false">
      <c r="B19" s="12" t="s">
        <v>23</v>
      </c>
      <c r="C19" s="8" t="n">
        <f aca="false">COUNTIF('Master Inventory'!F2:F221,"RESTRICTED / INTERNAL - VERIFY")</f>
        <v>7</v>
      </c>
    </row>
    <row r="20" customFormat="false" ht="15" hidden="false" customHeight="false" outlineLevel="0" collapsed="false">
      <c r="B20" s="12" t="s">
        <v>25</v>
      </c>
      <c r="C20" s="8" t="n">
        <f aca="false">COUNTIF('Master Inventory'!F2:F221,"NO SOURCE FOUND")</f>
        <v>5</v>
      </c>
    </row>
    <row r="23" customFormat="false" ht="15" hidden="false" customHeight="false" outlineLevel="0" collapsed="false">
      <c r="B23" s="3" t="s">
        <v>39</v>
      </c>
    </row>
    <row r="24" customFormat="false" ht="15" hidden="false" customHeight="false" outlineLevel="0" collapsed="false">
      <c r="B24" s="4" t="s">
        <v>40</v>
      </c>
      <c r="C24" s="4" t="s">
        <v>38</v>
      </c>
    </row>
    <row r="25" customFormat="false" ht="15" hidden="false" customHeight="false" outlineLevel="0" collapsed="false">
      <c r="B25" s="8" t="s">
        <v>41</v>
      </c>
      <c r="C25" s="8" t="n">
        <f aca="false">COUNTIF('Master Inventory'!H2:H221,"Phase 1 - Free")</f>
        <v>62</v>
      </c>
    </row>
    <row r="26" customFormat="false" ht="15" hidden="false" customHeight="false" outlineLevel="0" collapsed="false">
      <c r="B26" s="8" t="s">
        <v>42</v>
      </c>
      <c r="C26" s="8" t="n">
        <f aca="false">COUNTIF('Master Inventory'!H2:H221,"Phase 2 - Verify")</f>
        <v>138</v>
      </c>
    </row>
    <row r="27" customFormat="false" ht="15" hidden="false" customHeight="false" outlineLevel="0" collapsed="false">
      <c r="B27" s="8" t="s">
        <v>43</v>
      </c>
      <c r="C27" s="8" t="n">
        <f aca="false">COUNTIF('Master Inventory'!H2:H221,"Phase 3 - Paid (Skip for now)")</f>
        <v>8</v>
      </c>
    </row>
    <row r="28" customFormat="false" ht="15" hidden="false" customHeight="false" outlineLevel="0" collapsed="false">
      <c r="B28" s="8" t="s">
        <v>44</v>
      </c>
      <c r="C28" s="8" t="n">
        <f aca="false">COUNTIF('Master Inventory'!H2:H221,"Phase X - Unresolved")</f>
        <v>12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45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46</v>
      </c>
      <c r="C3" s="2"/>
      <c r="D3" s="2"/>
      <c r="E3" s="2"/>
      <c r="F3" s="2"/>
      <c r="G3" s="2"/>
      <c r="H3" s="2"/>
      <c r="I3" s="2"/>
    </row>
    <row r="5" customFormat="false" ht="25.5" hidden="false" customHeight="true" outlineLevel="0" collapsed="false">
      <c r="A5" s="13" t="s">
        <v>47</v>
      </c>
      <c r="B5" s="13" t="s">
        <v>48</v>
      </c>
      <c r="C5" s="13" t="s">
        <v>49</v>
      </c>
      <c r="D5" s="13" t="s">
        <v>50</v>
      </c>
      <c r="E5" s="13" t="s">
        <v>51</v>
      </c>
      <c r="F5" s="13" t="s">
        <v>52</v>
      </c>
      <c r="G5" s="13" t="s">
        <v>12</v>
      </c>
      <c r="H5" s="13" t="s">
        <v>53</v>
      </c>
      <c r="I5" s="13" t="s">
        <v>54</v>
      </c>
    </row>
    <row r="6" customFormat="false" ht="45.75" hidden="false" customHeight="true" outlineLevel="0" collapsed="false">
      <c r="A6" s="14" t="n">
        <v>1</v>
      </c>
      <c r="B6" s="14" t="s">
        <v>55</v>
      </c>
      <c r="C6" s="15" t="n">
        <f aca="false">COUNTIF('Master Inventory'!A:A,B6)</f>
        <v>37</v>
      </c>
      <c r="D6" s="15" t="n">
        <f aca="false">COUNTIFS('Master Inventory'!A:A,B6,'Master Inventory'!F:F,"FREE (Verified)")</f>
        <v>26</v>
      </c>
      <c r="E6" s="15" t="n">
        <f aca="false">COUNTIFS('Master Inventory'!A:A,B6,'Master Inventory'!F:F,"LIKELY FREE (Unverified)")</f>
        <v>9</v>
      </c>
      <c r="F6" s="15" t="n">
        <f aca="false">COUNTIFS('Master Inventory'!A:A,B6,'Master Inventory'!F:F,"PAID")</f>
        <v>0</v>
      </c>
      <c r="G6" s="15" t="n">
        <f aca="false">COUNTIFS('Master Inventory'!A:A,B6,'Master Inventory'!F:F,"NO SOURCE FOUND")+COUNTIFS('Master Inventory'!A:A,B6,'Master Inventory'!F:F,"RESTRICTED / INTERNAL - VERIFY")</f>
        <v>1</v>
      </c>
      <c r="H6" s="16" t="n">
        <f aca="false">(D6+E6)/C6</f>
        <v>0.945945945945946</v>
      </c>
      <c r="I6" s="17" t="s">
        <v>56</v>
      </c>
    </row>
    <row r="7" customFormat="false" ht="45.75" hidden="false" customHeight="true" outlineLevel="0" collapsed="false">
      <c r="A7" s="14" t="n">
        <v>2</v>
      </c>
      <c r="B7" s="14" t="s">
        <v>57</v>
      </c>
      <c r="C7" s="15" t="n">
        <f aca="false">COUNTIF('Master Inventory'!A:A,B7)</f>
        <v>54</v>
      </c>
      <c r="D7" s="15" t="n">
        <f aca="false">COUNTIFS('Master Inventory'!A:A,B7,'Master Inventory'!F:F,"FREE (Verified)")</f>
        <v>9</v>
      </c>
      <c r="E7" s="15" t="n">
        <f aca="false">COUNTIFS('Master Inventory'!A:A,B7,'Master Inventory'!F:F,"LIKELY FREE (Unverified)")</f>
        <v>44</v>
      </c>
      <c r="F7" s="15" t="n">
        <f aca="false">COUNTIFS('Master Inventory'!A:A,B7,'Master Inventory'!F:F,"PAID")</f>
        <v>0</v>
      </c>
      <c r="G7" s="15" t="n">
        <f aca="false">COUNTIFS('Master Inventory'!A:A,B7,'Master Inventory'!F:F,"NO SOURCE FOUND")+COUNTIFS('Master Inventory'!A:A,B7,'Master Inventory'!F:F,"RESTRICTED / INTERNAL - VERIFY")</f>
        <v>0</v>
      </c>
      <c r="H7" s="16" t="n">
        <f aca="false">(D7+E7)/C7</f>
        <v>0.981481481481482</v>
      </c>
      <c r="I7" s="17" t="s">
        <v>58</v>
      </c>
    </row>
    <row r="8" customFormat="false" ht="45.75" hidden="false" customHeight="true" outlineLevel="0" collapsed="false">
      <c r="A8" s="14" t="n">
        <v>3</v>
      </c>
      <c r="B8" s="14" t="s">
        <v>59</v>
      </c>
      <c r="C8" s="15" t="n">
        <f aca="false">COUNTIF('Master Inventory'!A:A,B8)</f>
        <v>57</v>
      </c>
      <c r="D8" s="15" t="n">
        <f aca="false">COUNTIFS('Master Inventory'!A:A,B8,'Master Inventory'!F:F,"FREE (Verified)")</f>
        <v>20</v>
      </c>
      <c r="E8" s="15" t="n">
        <f aca="false">COUNTIFS('Master Inventory'!A:A,B8,'Master Inventory'!F:F,"LIKELY FREE (Unverified)")</f>
        <v>28</v>
      </c>
      <c r="F8" s="15" t="n">
        <f aca="false">COUNTIFS('Master Inventory'!A:A,B8,'Master Inventory'!F:F,"PAID")</f>
        <v>0</v>
      </c>
      <c r="G8" s="15" t="n">
        <f aca="false">COUNTIFS('Master Inventory'!A:A,B8,'Master Inventory'!F:F,"NO SOURCE FOUND")+COUNTIFS('Master Inventory'!A:A,B8,'Master Inventory'!F:F,"RESTRICTED / INTERNAL - VERIFY")</f>
        <v>8</v>
      </c>
      <c r="H8" s="16" t="n">
        <f aca="false">(D8+E8)/C8</f>
        <v>0.842105263157895</v>
      </c>
      <c r="I8" s="17" t="s">
        <v>60</v>
      </c>
    </row>
    <row r="9" customFormat="false" ht="45.75" hidden="false" customHeight="true" outlineLevel="0" collapsed="false">
      <c r="A9" s="14" t="n">
        <v>4</v>
      </c>
      <c r="B9" s="14" t="s">
        <v>61</v>
      </c>
      <c r="C9" s="15" t="n">
        <f aca="false">COUNTIF('Master Inventory'!A:A,B9)</f>
        <v>15</v>
      </c>
      <c r="D9" s="15" t="n">
        <f aca="false">COUNTIFS('Master Inventory'!A:A,B9,'Master Inventory'!F:F,"FREE (Verified)")</f>
        <v>0</v>
      </c>
      <c r="E9" s="15" t="n">
        <f aca="false">COUNTIFS('Master Inventory'!A:A,B9,'Master Inventory'!F:F,"LIKELY FREE (Unverified)")</f>
        <v>14</v>
      </c>
      <c r="F9" s="15" t="n">
        <f aca="false">COUNTIFS('Master Inventory'!A:A,B9,'Master Inventory'!F:F,"PAID")</f>
        <v>0</v>
      </c>
      <c r="G9" s="15" t="n">
        <f aca="false">COUNTIFS('Master Inventory'!A:A,B9,'Master Inventory'!F:F,"NO SOURCE FOUND")+COUNTIFS('Master Inventory'!A:A,B9,'Master Inventory'!F:F,"RESTRICTED / INTERNAL - VERIFY")</f>
        <v>1</v>
      </c>
      <c r="H9" s="16" t="n">
        <f aca="false">(D9+E9)/C9</f>
        <v>0.933333333333333</v>
      </c>
      <c r="I9" s="17" t="s">
        <v>62</v>
      </c>
    </row>
    <row r="10" customFormat="false" ht="45.75" hidden="false" customHeight="true" outlineLevel="0" collapsed="false">
      <c r="A10" s="14" t="n">
        <v>5</v>
      </c>
      <c r="B10" s="14" t="s">
        <v>63</v>
      </c>
      <c r="C10" s="15" t="n">
        <f aca="false">COUNTIF('Master Inventory'!A:A,B10)</f>
        <v>42</v>
      </c>
      <c r="D10" s="15" t="n">
        <f aca="false">COUNTIFS('Master Inventory'!A:A,B10,'Master Inventory'!F:F,"FREE (Verified)")</f>
        <v>5</v>
      </c>
      <c r="E10" s="15" t="n">
        <f aca="false">COUNTIFS('Master Inventory'!A:A,B10,'Master Inventory'!F:F,"LIKELY FREE (Unverified)")</f>
        <v>28</v>
      </c>
      <c r="F10" s="15" t="n">
        <f aca="false">COUNTIFS('Master Inventory'!A:A,B10,'Master Inventory'!F:F,"PAID")</f>
        <v>8</v>
      </c>
      <c r="G10" s="15" t="n">
        <f aca="false">COUNTIFS('Master Inventory'!A:A,B10,'Master Inventory'!F:F,"NO SOURCE FOUND")+COUNTIFS('Master Inventory'!A:A,B10,'Master Inventory'!F:F,"RESTRICTED / INTERNAL - VERIFY")</f>
        <v>1</v>
      </c>
      <c r="H10" s="16" t="n">
        <f aca="false">(D10+E10)/C10</f>
        <v>0.785714285714286</v>
      </c>
      <c r="I10" s="17" t="s">
        <v>64</v>
      </c>
    </row>
    <row r="11" customFormat="false" ht="45.75" hidden="false" customHeight="true" outlineLevel="0" collapsed="false">
      <c r="A11" s="14" t="n">
        <v>6</v>
      </c>
      <c r="B11" s="14" t="s">
        <v>65</v>
      </c>
      <c r="C11" s="15" t="n">
        <f aca="false">COUNTIF('Master Inventory'!A:A,B11)</f>
        <v>15</v>
      </c>
      <c r="D11" s="15" t="n">
        <f aca="false">COUNTIFS('Master Inventory'!A:A,B11,'Master Inventory'!F:F,"FREE (Verified)")</f>
        <v>2</v>
      </c>
      <c r="E11" s="15" t="n">
        <f aca="false">COUNTIFS('Master Inventory'!A:A,B11,'Master Inventory'!F:F,"LIKELY FREE (Unverified)")</f>
        <v>11</v>
      </c>
      <c r="F11" s="15" t="n">
        <f aca="false">COUNTIFS('Master Inventory'!A:A,B11,'Master Inventory'!F:F,"PAID")</f>
        <v>0</v>
      </c>
      <c r="G11" s="15" t="n">
        <f aca="false">COUNTIFS('Master Inventory'!A:A,B11,'Master Inventory'!F:F,"NO SOURCE FOUND")+COUNTIFS('Master Inventory'!A:A,B11,'Master Inventory'!F:F,"RESTRICTED / INTERNAL - VERIFY")</f>
        <v>1</v>
      </c>
      <c r="H11" s="16" t="n">
        <f aca="false">(D11+E11)/C11</f>
        <v>0.866666666666667</v>
      </c>
      <c r="I11" s="17" t="s">
        <v>66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20"/>
  </cols>
  <sheetData>
    <row r="2" customFormat="false" ht="19.7" hidden="false" customHeight="false" outlineLevel="0" collapsed="false">
      <c r="B2" s="1" t="s">
        <v>67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68</v>
      </c>
      <c r="C3" s="2"/>
      <c r="D3" s="2"/>
      <c r="E3" s="2"/>
      <c r="F3" s="2"/>
      <c r="G3" s="2"/>
    </row>
    <row r="5" customFormat="false" ht="25.5" hidden="false" customHeight="true" outlineLevel="0" collapsed="false">
      <c r="A5" s="13" t="s">
        <v>69</v>
      </c>
      <c r="B5" s="13" t="s">
        <v>48</v>
      </c>
      <c r="C5" s="13" t="s">
        <v>70</v>
      </c>
      <c r="D5" s="13" t="s">
        <v>37</v>
      </c>
      <c r="E5" s="13" t="s">
        <v>71</v>
      </c>
      <c r="F5" s="13" t="s">
        <v>72</v>
      </c>
    </row>
    <row r="6" customFormat="false" ht="75" hidden="false" customHeight="true" outlineLevel="0" collapsed="false">
      <c r="A6" s="15" t="s">
        <v>73</v>
      </c>
      <c r="B6" s="15" t="s">
        <v>59</v>
      </c>
      <c r="C6" s="15" t="n">
        <v>16</v>
      </c>
      <c r="D6" s="18" t="s">
        <v>15</v>
      </c>
      <c r="E6" s="17" t="s">
        <v>74</v>
      </c>
      <c r="F6" s="15" t="s">
        <v>75</v>
      </c>
    </row>
    <row r="7" customFormat="false" ht="45" hidden="false" customHeight="true" outlineLevel="0" collapsed="false">
      <c r="A7" s="15" t="s">
        <v>76</v>
      </c>
      <c r="B7" s="15" t="s">
        <v>55</v>
      </c>
      <c r="C7" s="15" t="n">
        <v>10</v>
      </c>
      <c r="D7" s="18" t="s">
        <v>15</v>
      </c>
      <c r="E7" s="17" t="s">
        <v>77</v>
      </c>
      <c r="F7" s="15" t="s">
        <v>75</v>
      </c>
    </row>
    <row r="8" customFormat="false" ht="45" hidden="false" customHeight="true" outlineLevel="0" collapsed="false">
      <c r="A8" s="15" t="s">
        <v>78</v>
      </c>
      <c r="B8" s="15" t="s">
        <v>63</v>
      </c>
      <c r="C8" s="15" t="n">
        <v>8</v>
      </c>
      <c r="D8" s="19" t="s">
        <v>21</v>
      </c>
      <c r="E8" s="17" t="s">
        <v>79</v>
      </c>
      <c r="F8" s="15" t="s">
        <v>80</v>
      </c>
    </row>
    <row r="9" customFormat="false" ht="30" hidden="false" customHeight="true" outlineLevel="0" collapsed="false">
      <c r="A9" s="15" t="s">
        <v>81</v>
      </c>
      <c r="B9" s="15" t="s">
        <v>55</v>
      </c>
      <c r="C9" s="15" t="n">
        <v>6</v>
      </c>
      <c r="D9" s="18" t="s">
        <v>15</v>
      </c>
      <c r="E9" s="17" t="s">
        <v>82</v>
      </c>
      <c r="F9" s="15" t="s">
        <v>75</v>
      </c>
    </row>
    <row r="10" customFormat="false" ht="30" hidden="false" customHeight="true" outlineLevel="0" collapsed="false">
      <c r="A10" s="15" t="s">
        <v>83</v>
      </c>
      <c r="B10" s="15" t="s">
        <v>55</v>
      </c>
      <c r="C10" s="15" t="n">
        <v>6</v>
      </c>
      <c r="D10" s="18" t="s">
        <v>15</v>
      </c>
      <c r="E10" s="17" t="s">
        <v>84</v>
      </c>
      <c r="F10" s="15" t="s">
        <v>75</v>
      </c>
    </row>
    <row r="11" customFormat="false" ht="15" hidden="false" customHeight="true" outlineLevel="0" collapsed="false">
      <c r="A11" s="15" t="s">
        <v>85</v>
      </c>
      <c r="B11" s="15" t="s">
        <v>59</v>
      </c>
      <c r="C11" s="15" t="n">
        <v>3</v>
      </c>
      <c r="D11" s="20" t="s">
        <v>23</v>
      </c>
      <c r="E11" s="17" t="s">
        <v>86</v>
      </c>
      <c r="F11" s="15" t="s">
        <v>87</v>
      </c>
    </row>
    <row r="12" customFormat="false" ht="15" hidden="false" customHeight="true" outlineLevel="0" collapsed="false">
      <c r="A12" s="15" t="s">
        <v>88</v>
      </c>
      <c r="B12" s="15" t="s">
        <v>57</v>
      </c>
      <c r="C12" s="15" t="n">
        <v>3</v>
      </c>
      <c r="D12" s="21" t="s">
        <v>17</v>
      </c>
      <c r="E12" s="17" t="s">
        <v>89</v>
      </c>
      <c r="F12" s="15" t="s">
        <v>90</v>
      </c>
    </row>
    <row r="13" customFormat="false" ht="15" hidden="false" customHeight="true" outlineLevel="0" collapsed="false">
      <c r="A13" s="15" t="s">
        <v>91</v>
      </c>
      <c r="B13" s="15" t="s">
        <v>63</v>
      </c>
      <c r="C13" s="15" t="n">
        <v>3</v>
      </c>
      <c r="D13" s="18" t="s">
        <v>15</v>
      </c>
      <c r="E13" s="17" t="s">
        <v>92</v>
      </c>
      <c r="F13" s="15" t="s">
        <v>90</v>
      </c>
    </row>
    <row r="14" customFormat="false" ht="15" hidden="false" customHeight="true" outlineLevel="0" collapsed="false">
      <c r="A14" s="15" t="s">
        <v>93</v>
      </c>
      <c r="B14" s="15" t="s">
        <v>55</v>
      </c>
      <c r="C14" s="15" t="n">
        <v>3</v>
      </c>
      <c r="D14" s="18" t="s">
        <v>15</v>
      </c>
      <c r="E14" s="17" t="s">
        <v>94</v>
      </c>
      <c r="F14" s="15" t="s">
        <v>90</v>
      </c>
    </row>
    <row r="15" customFormat="false" ht="15" hidden="false" customHeight="true" outlineLevel="0" collapsed="false">
      <c r="A15" s="15" t="s">
        <v>95</v>
      </c>
      <c r="B15" s="15" t="s">
        <v>57</v>
      </c>
      <c r="C15" s="15" t="n">
        <v>3</v>
      </c>
      <c r="D15" s="18" t="s">
        <v>15</v>
      </c>
      <c r="E15" s="17" t="s">
        <v>96</v>
      </c>
      <c r="F15" s="15" t="s">
        <v>90</v>
      </c>
    </row>
    <row r="16" customFormat="false" ht="15" hidden="false" customHeight="true" outlineLevel="0" collapsed="false">
      <c r="A16" s="15" t="s">
        <v>97</v>
      </c>
      <c r="B16" s="15" t="s">
        <v>57</v>
      </c>
      <c r="C16" s="15" t="n">
        <v>2</v>
      </c>
      <c r="D16" s="21" t="s">
        <v>17</v>
      </c>
      <c r="E16" s="17" t="s">
        <v>98</v>
      </c>
      <c r="F16" s="15" t="s">
        <v>90</v>
      </c>
    </row>
    <row r="17" customFormat="false" ht="15" hidden="false" customHeight="true" outlineLevel="0" collapsed="false">
      <c r="A17" s="15" t="s">
        <v>99</v>
      </c>
      <c r="B17" s="15" t="s">
        <v>59</v>
      </c>
      <c r="C17" s="15" t="n">
        <v>2</v>
      </c>
      <c r="D17" s="18" t="s">
        <v>15</v>
      </c>
      <c r="E17" s="17" t="s">
        <v>100</v>
      </c>
      <c r="F17" s="15" t="s">
        <v>90</v>
      </c>
    </row>
    <row r="18" customFormat="false" ht="15" hidden="false" customHeight="true" outlineLevel="0" collapsed="false">
      <c r="A18" s="15" t="s">
        <v>91</v>
      </c>
      <c r="B18" s="15" t="s">
        <v>65</v>
      </c>
      <c r="C18" s="15" t="n">
        <v>2</v>
      </c>
      <c r="D18" s="18" t="s">
        <v>15</v>
      </c>
      <c r="E18" s="17" t="s">
        <v>101</v>
      </c>
      <c r="F18" s="15" t="s">
        <v>90</v>
      </c>
    </row>
    <row r="19" customFormat="false" ht="15" hidden="false" customHeight="true" outlineLevel="0" collapsed="false">
      <c r="A19" s="15" t="s">
        <v>102</v>
      </c>
      <c r="B19" s="15" t="s">
        <v>57</v>
      </c>
      <c r="C19" s="15" t="n">
        <v>2</v>
      </c>
      <c r="D19" s="21" t="s">
        <v>17</v>
      </c>
      <c r="E19" s="17" t="s">
        <v>103</v>
      </c>
      <c r="F19" s="15" t="s">
        <v>90</v>
      </c>
    </row>
    <row r="20" customFormat="false" ht="15" hidden="false" customHeight="true" outlineLevel="0" collapsed="false">
      <c r="A20" s="15" t="s">
        <v>91</v>
      </c>
      <c r="B20" s="15" t="s">
        <v>59</v>
      </c>
      <c r="C20" s="15" t="n">
        <v>2</v>
      </c>
      <c r="D20" s="18" t="s">
        <v>15</v>
      </c>
      <c r="E20" s="17" t="s">
        <v>104</v>
      </c>
      <c r="F20" s="15" t="s">
        <v>90</v>
      </c>
    </row>
    <row r="21" customFormat="false" ht="15" hidden="false" customHeight="true" outlineLevel="0" collapsed="false">
      <c r="A21" s="15" t="s">
        <v>105</v>
      </c>
      <c r="B21" s="15" t="s">
        <v>57</v>
      </c>
      <c r="C21" s="15" t="n">
        <v>2</v>
      </c>
      <c r="D21" s="18" t="s">
        <v>15</v>
      </c>
      <c r="E21" s="17" t="s">
        <v>106</v>
      </c>
      <c r="F21" s="15" t="s">
        <v>90</v>
      </c>
    </row>
    <row r="22" customFormat="false" ht="15" hidden="false" customHeight="true" outlineLevel="0" collapsed="false">
      <c r="A22" s="15" t="s">
        <v>107</v>
      </c>
      <c r="B22" s="15" t="s">
        <v>57</v>
      </c>
      <c r="C22" s="15" t="n">
        <v>2</v>
      </c>
      <c r="D22" s="18" t="s">
        <v>15</v>
      </c>
      <c r="E22" s="17" t="s">
        <v>108</v>
      </c>
      <c r="F22" s="15" t="s">
        <v>90</v>
      </c>
    </row>
  </sheetData>
  <autoFilter ref="A5:F22"/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10" min="9" style="0" width="8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30"/>
  </cols>
  <sheetData>
    <row r="1" customFormat="false" ht="39.75" hidden="false" customHeight="true" outlineLevel="0" collapsed="false">
      <c r="A1" s="13" t="s">
        <v>48</v>
      </c>
      <c r="B1" s="13" t="s">
        <v>109</v>
      </c>
      <c r="C1" s="13" t="s">
        <v>110</v>
      </c>
      <c r="D1" s="13" t="s">
        <v>111</v>
      </c>
      <c r="E1" s="13" t="s">
        <v>112</v>
      </c>
      <c r="F1" s="13" t="s">
        <v>37</v>
      </c>
      <c r="G1" s="13" t="s">
        <v>113</v>
      </c>
      <c r="H1" s="13" t="s">
        <v>40</v>
      </c>
      <c r="I1" s="13" t="s">
        <v>114</v>
      </c>
      <c r="J1" s="13" t="s">
        <v>115</v>
      </c>
      <c r="K1" s="13" t="s">
        <v>116</v>
      </c>
      <c r="L1" s="13" t="s">
        <v>117</v>
      </c>
      <c r="M1" s="13" t="s">
        <v>118</v>
      </c>
      <c r="N1" s="13" t="s">
        <v>119</v>
      </c>
    </row>
    <row r="2" customFormat="false" ht="15" hidden="false" customHeight="false" outlineLevel="0" collapsed="false">
      <c r="A2" s="22" t="s">
        <v>55</v>
      </c>
      <c r="B2" s="22" t="s">
        <v>120</v>
      </c>
      <c r="C2" s="22" t="s">
        <v>121</v>
      </c>
      <c r="D2" s="22" t="s">
        <v>122</v>
      </c>
      <c r="E2" s="22"/>
      <c r="F2" s="23" t="s">
        <v>15</v>
      </c>
      <c r="G2" s="24" t="s">
        <v>123</v>
      </c>
      <c r="H2" s="22" t="s">
        <v>41</v>
      </c>
      <c r="I2" s="22" t="n">
        <v>1</v>
      </c>
      <c r="J2" s="22" t="n">
        <v>10</v>
      </c>
      <c r="K2" s="22" t="s">
        <v>124</v>
      </c>
      <c r="L2" s="22"/>
      <c r="M2" s="22"/>
      <c r="N2" s="24"/>
    </row>
    <row r="3" customFormat="false" ht="15" hidden="false" customHeight="false" outlineLevel="0" collapsed="false">
      <c r="A3" s="22" t="s">
        <v>55</v>
      </c>
      <c r="B3" s="22" t="s">
        <v>125</v>
      </c>
      <c r="C3" s="22" t="s">
        <v>126</v>
      </c>
      <c r="D3" s="22" t="s">
        <v>122</v>
      </c>
      <c r="E3" s="22"/>
      <c r="F3" s="23" t="s">
        <v>15</v>
      </c>
      <c r="G3" s="24" t="s">
        <v>123</v>
      </c>
      <c r="H3" s="22" t="s">
        <v>41</v>
      </c>
      <c r="I3" s="22" t="n">
        <v>1</v>
      </c>
      <c r="J3" s="22" t="n">
        <v>10</v>
      </c>
      <c r="K3" s="22" t="s">
        <v>124</v>
      </c>
      <c r="L3" s="22"/>
      <c r="M3" s="22"/>
      <c r="N3" s="24"/>
    </row>
    <row r="4" customFormat="false" ht="15" hidden="false" customHeight="false" outlineLevel="0" collapsed="false">
      <c r="A4" s="22" t="s">
        <v>55</v>
      </c>
      <c r="B4" s="22" t="s">
        <v>127</v>
      </c>
      <c r="C4" s="22" t="s">
        <v>128</v>
      </c>
      <c r="D4" s="22" t="s">
        <v>129</v>
      </c>
      <c r="E4" s="22"/>
      <c r="F4" s="23" t="s">
        <v>15</v>
      </c>
      <c r="G4" s="24" t="s">
        <v>123</v>
      </c>
      <c r="H4" s="22" t="s">
        <v>41</v>
      </c>
      <c r="I4" s="22" t="n">
        <v>1</v>
      </c>
      <c r="J4" s="22" t="n">
        <v>6</v>
      </c>
      <c r="K4" s="22" t="s">
        <v>124</v>
      </c>
      <c r="L4" s="22"/>
      <c r="M4" s="22"/>
      <c r="N4" s="24"/>
    </row>
    <row r="5" customFormat="false" ht="35.05" hidden="false" customHeight="false" outlineLevel="0" collapsed="false">
      <c r="A5" s="22" t="s">
        <v>55</v>
      </c>
      <c r="B5" s="22" t="s">
        <v>130</v>
      </c>
      <c r="C5" s="22" t="s">
        <v>131</v>
      </c>
      <c r="D5" s="22" t="s">
        <v>132</v>
      </c>
      <c r="E5" s="22"/>
      <c r="F5" s="25" t="s">
        <v>17</v>
      </c>
      <c r="G5" s="24" t="s">
        <v>133</v>
      </c>
      <c r="H5" s="22" t="s">
        <v>42</v>
      </c>
      <c r="I5" s="22" t="n">
        <v>1</v>
      </c>
      <c r="J5" s="22" t="n">
        <v>1</v>
      </c>
      <c r="K5" s="22" t="s">
        <v>124</v>
      </c>
      <c r="L5" s="22"/>
      <c r="M5" s="22"/>
      <c r="N5" s="24"/>
    </row>
    <row r="6" customFormat="false" ht="35.05" hidden="false" customHeight="false" outlineLevel="0" collapsed="false">
      <c r="A6" s="22" t="s">
        <v>55</v>
      </c>
      <c r="B6" s="22" t="s">
        <v>134</v>
      </c>
      <c r="C6" s="22" t="s">
        <v>135</v>
      </c>
      <c r="D6" s="22" t="s">
        <v>136</v>
      </c>
      <c r="E6" s="22"/>
      <c r="F6" s="25" t="s">
        <v>17</v>
      </c>
      <c r="G6" s="24" t="s">
        <v>137</v>
      </c>
      <c r="H6" s="22" t="s">
        <v>42</v>
      </c>
      <c r="I6" s="22" t="n">
        <v>1</v>
      </c>
      <c r="J6" s="22" t="n">
        <v>1</v>
      </c>
      <c r="K6" s="22" t="s">
        <v>124</v>
      </c>
      <c r="L6" s="22"/>
      <c r="M6" s="22"/>
      <c r="N6" s="24"/>
    </row>
    <row r="7" customFormat="false" ht="15" hidden="false" customHeight="false" outlineLevel="0" collapsed="false">
      <c r="A7" s="22" t="s">
        <v>55</v>
      </c>
      <c r="B7" s="22" t="s">
        <v>138</v>
      </c>
      <c r="C7" s="22" t="s">
        <v>139</v>
      </c>
      <c r="D7" s="22" t="s">
        <v>140</v>
      </c>
      <c r="E7" s="22"/>
      <c r="F7" s="23" t="s">
        <v>15</v>
      </c>
      <c r="G7" s="24" t="s">
        <v>123</v>
      </c>
      <c r="H7" s="22" t="s">
        <v>41</v>
      </c>
      <c r="I7" s="22" t="n">
        <v>1</v>
      </c>
      <c r="J7" s="22" t="n">
        <v>6</v>
      </c>
      <c r="K7" s="22" t="s">
        <v>124</v>
      </c>
      <c r="L7" s="22"/>
      <c r="M7" s="22"/>
      <c r="N7" s="24"/>
    </row>
    <row r="8" customFormat="false" ht="35.05" hidden="false" customHeight="false" outlineLevel="0" collapsed="false">
      <c r="A8" s="22" t="s">
        <v>55</v>
      </c>
      <c r="B8" s="22" t="s">
        <v>141</v>
      </c>
      <c r="C8" s="22" t="s">
        <v>142</v>
      </c>
      <c r="D8" s="22" t="s">
        <v>143</v>
      </c>
      <c r="E8" s="22"/>
      <c r="F8" s="25" t="s">
        <v>17</v>
      </c>
      <c r="G8" s="24" t="s">
        <v>133</v>
      </c>
      <c r="H8" s="22" t="s">
        <v>42</v>
      </c>
      <c r="I8" s="22" t="n">
        <v>1</v>
      </c>
      <c r="J8" s="22" t="n">
        <v>1</v>
      </c>
      <c r="K8" s="22" t="s">
        <v>124</v>
      </c>
      <c r="L8" s="22"/>
      <c r="M8" s="22"/>
      <c r="N8" s="24"/>
    </row>
    <row r="9" customFormat="false" ht="15" hidden="false" customHeight="false" outlineLevel="0" collapsed="false">
      <c r="A9" s="22" t="s">
        <v>55</v>
      </c>
      <c r="B9" s="22" t="s">
        <v>144</v>
      </c>
      <c r="C9" s="22" t="s">
        <v>128</v>
      </c>
      <c r="D9" s="22" t="s">
        <v>129</v>
      </c>
      <c r="E9" s="22"/>
      <c r="F9" s="23" t="s">
        <v>15</v>
      </c>
      <c r="G9" s="24" t="s">
        <v>123</v>
      </c>
      <c r="H9" s="22" t="s">
        <v>41</v>
      </c>
      <c r="I9" s="22" t="n">
        <v>1</v>
      </c>
      <c r="J9" s="22" t="n">
        <v>6</v>
      </c>
      <c r="K9" s="22" t="s">
        <v>124</v>
      </c>
      <c r="L9" s="22"/>
      <c r="M9" s="22"/>
      <c r="N9" s="24"/>
    </row>
    <row r="10" customFormat="false" ht="23.85" hidden="false" customHeight="false" outlineLevel="0" collapsed="false">
      <c r="A10" s="22" t="s">
        <v>55</v>
      </c>
      <c r="B10" s="22" t="s">
        <v>145</v>
      </c>
      <c r="C10" s="22" t="s">
        <v>146</v>
      </c>
      <c r="D10" s="22" t="s">
        <v>147</v>
      </c>
      <c r="E10" s="22" t="s">
        <v>148</v>
      </c>
      <c r="F10" s="26" t="s">
        <v>23</v>
      </c>
      <c r="G10" s="24" t="s">
        <v>149</v>
      </c>
      <c r="H10" s="22" t="s">
        <v>44</v>
      </c>
      <c r="I10" s="22" t="n">
        <v>1</v>
      </c>
      <c r="J10" s="22" t="n">
        <v>1</v>
      </c>
      <c r="K10" s="22" t="s">
        <v>124</v>
      </c>
      <c r="L10" s="22"/>
      <c r="M10" s="22"/>
      <c r="N10" s="24"/>
    </row>
    <row r="11" customFormat="false" ht="35.05" hidden="false" customHeight="false" outlineLevel="0" collapsed="false">
      <c r="A11" s="22" t="s">
        <v>55</v>
      </c>
      <c r="B11" s="22" t="s">
        <v>150</v>
      </c>
      <c r="C11" s="22" t="s">
        <v>151</v>
      </c>
      <c r="D11" s="22" t="s">
        <v>152</v>
      </c>
      <c r="E11" s="22"/>
      <c r="F11" s="25" t="s">
        <v>17</v>
      </c>
      <c r="G11" s="24" t="s">
        <v>133</v>
      </c>
      <c r="H11" s="22" t="s">
        <v>42</v>
      </c>
      <c r="I11" s="22" t="n">
        <v>1</v>
      </c>
      <c r="J11" s="22" t="n">
        <v>1</v>
      </c>
      <c r="K11" s="22" t="s">
        <v>124</v>
      </c>
      <c r="L11" s="22"/>
      <c r="M11" s="22"/>
      <c r="N11" s="24"/>
    </row>
    <row r="12" customFormat="false" ht="15" hidden="false" customHeight="false" outlineLevel="0" collapsed="false">
      <c r="A12" s="22" t="s">
        <v>55</v>
      </c>
      <c r="B12" s="22" t="s">
        <v>153</v>
      </c>
      <c r="C12" s="22" t="s">
        <v>154</v>
      </c>
      <c r="D12" s="22" t="s">
        <v>140</v>
      </c>
      <c r="E12" s="22"/>
      <c r="F12" s="23" t="s">
        <v>15</v>
      </c>
      <c r="G12" s="24" t="s">
        <v>123</v>
      </c>
      <c r="H12" s="22" t="s">
        <v>41</v>
      </c>
      <c r="I12" s="22" t="n">
        <v>1</v>
      </c>
      <c r="J12" s="22" t="n">
        <v>6</v>
      </c>
      <c r="K12" s="22" t="s">
        <v>124</v>
      </c>
      <c r="L12" s="22"/>
      <c r="M12" s="22"/>
      <c r="N12" s="24"/>
    </row>
    <row r="13" customFormat="false" ht="35.05" hidden="false" customHeight="false" outlineLevel="0" collapsed="false">
      <c r="A13" s="22" t="s">
        <v>55</v>
      </c>
      <c r="B13" s="22" t="s">
        <v>155</v>
      </c>
      <c r="C13" s="22" t="s">
        <v>156</v>
      </c>
      <c r="D13" s="22" t="s">
        <v>157</v>
      </c>
      <c r="E13" s="22"/>
      <c r="F13" s="25" t="s">
        <v>17</v>
      </c>
      <c r="G13" s="24" t="s">
        <v>133</v>
      </c>
      <c r="H13" s="22" t="s">
        <v>42</v>
      </c>
      <c r="I13" s="22" t="n">
        <v>1</v>
      </c>
      <c r="J13" s="22" t="n">
        <v>1</v>
      </c>
      <c r="K13" s="22" t="s">
        <v>124</v>
      </c>
      <c r="L13" s="22"/>
      <c r="M13" s="22"/>
      <c r="N13" s="24"/>
    </row>
    <row r="14" customFormat="false" ht="15" hidden="false" customHeight="false" outlineLevel="0" collapsed="false">
      <c r="A14" s="22" t="s">
        <v>55</v>
      </c>
      <c r="B14" s="22" t="s">
        <v>158</v>
      </c>
      <c r="C14" s="22" t="s">
        <v>128</v>
      </c>
      <c r="D14" s="22" t="s">
        <v>129</v>
      </c>
      <c r="E14" s="22"/>
      <c r="F14" s="23" t="s">
        <v>15</v>
      </c>
      <c r="G14" s="24" t="s">
        <v>123</v>
      </c>
      <c r="H14" s="22" t="s">
        <v>41</v>
      </c>
      <c r="I14" s="22" t="n">
        <v>1</v>
      </c>
      <c r="J14" s="22" t="n">
        <v>6</v>
      </c>
      <c r="K14" s="22" t="s">
        <v>124</v>
      </c>
      <c r="L14" s="22"/>
      <c r="M14" s="22"/>
      <c r="N14" s="24"/>
    </row>
    <row r="15" customFormat="false" ht="15" hidden="false" customHeight="false" outlineLevel="0" collapsed="false">
      <c r="A15" s="22" t="s">
        <v>55</v>
      </c>
      <c r="B15" s="22" t="s">
        <v>159</v>
      </c>
      <c r="C15" s="22" t="s">
        <v>160</v>
      </c>
      <c r="D15" s="22" t="s">
        <v>122</v>
      </c>
      <c r="E15" s="22"/>
      <c r="F15" s="23" t="s">
        <v>15</v>
      </c>
      <c r="G15" s="24" t="s">
        <v>123</v>
      </c>
      <c r="H15" s="22" t="s">
        <v>41</v>
      </c>
      <c r="I15" s="22" t="n">
        <v>1</v>
      </c>
      <c r="J15" s="22" t="n">
        <v>10</v>
      </c>
      <c r="K15" s="22" t="s">
        <v>124</v>
      </c>
      <c r="L15" s="22"/>
      <c r="M15" s="22"/>
      <c r="N15" s="24"/>
    </row>
    <row r="16" customFormat="false" ht="35.05" hidden="false" customHeight="false" outlineLevel="0" collapsed="false">
      <c r="A16" s="22" t="s">
        <v>55</v>
      </c>
      <c r="B16" s="22" t="s">
        <v>161</v>
      </c>
      <c r="C16" s="22" t="s">
        <v>162</v>
      </c>
      <c r="D16" s="22" t="s">
        <v>163</v>
      </c>
      <c r="E16" s="22"/>
      <c r="F16" s="25" t="s">
        <v>17</v>
      </c>
      <c r="G16" s="24" t="s">
        <v>137</v>
      </c>
      <c r="H16" s="22" t="s">
        <v>42</v>
      </c>
      <c r="I16" s="22" t="n">
        <v>1</v>
      </c>
      <c r="J16" s="22" t="n">
        <v>1</v>
      </c>
      <c r="K16" s="22" t="s">
        <v>124</v>
      </c>
      <c r="L16" s="22"/>
      <c r="M16" s="22"/>
      <c r="N16" s="24"/>
    </row>
    <row r="17" customFormat="false" ht="15" hidden="false" customHeight="false" outlineLevel="0" collapsed="false">
      <c r="A17" s="22" t="s">
        <v>55</v>
      </c>
      <c r="B17" s="22" t="s">
        <v>164</v>
      </c>
      <c r="C17" s="22" t="s">
        <v>165</v>
      </c>
      <c r="D17" s="22" t="s">
        <v>140</v>
      </c>
      <c r="E17" s="22"/>
      <c r="F17" s="23" t="s">
        <v>15</v>
      </c>
      <c r="G17" s="24" t="s">
        <v>123</v>
      </c>
      <c r="H17" s="22" t="s">
        <v>41</v>
      </c>
      <c r="I17" s="22" t="n">
        <v>1</v>
      </c>
      <c r="J17" s="22" t="n">
        <v>6</v>
      </c>
      <c r="K17" s="22" t="s">
        <v>124</v>
      </c>
      <c r="L17" s="22"/>
      <c r="M17" s="22"/>
      <c r="N17" s="24"/>
    </row>
    <row r="18" customFormat="false" ht="15" hidden="false" customHeight="false" outlineLevel="0" collapsed="false">
      <c r="A18" s="22" t="s">
        <v>55</v>
      </c>
      <c r="B18" s="22" t="s">
        <v>166</v>
      </c>
      <c r="C18" s="22" t="s">
        <v>167</v>
      </c>
      <c r="D18" s="22" t="s">
        <v>168</v>
      </c>
      <c r="E18" s="22"/>
      <c r="F18" s="23" t="s">
        <v>15</v>
      </c>
      <c r="G18" s="24" t="s">
        <v>123</v>
      </c>
      <c r="H18" s="22" t="s">
        <v>41</v>
      </c>
      <c r="I18" s="22" t="n">
        <v>1</v>
      </c>
      <c r="J18" s="22" t="n">
        <v>9</v>
      </c>
      <c r="K18" s="22" t="s">
        <v>124</v>
      </c>
      <c r="L18" s="22"/>
      <c r="M18" s="22"/>
      <c r="N18" s="24"/>
    </row>
    <row r="19" customFormat="false" ht="15" hidden="false" customHeight="false" outlineLevel="0" collapsed="false">
      <c r="A19" s="22" t="s">
        <v>55</v>
      </c>
      <c r="B19" s="22" t="s">
        <v>169</v>
      </c>
      <c r="C19" s="22" t="s">
        <v>170</v>
      </c>
      <c r="D19" s="22" t="s">
        <v>122</v>
      </c>
      <c r="E19" s="22"/>
      <c r="F19" s="23" t="s">
        <v>15</v>
      </c>
      <c r="G19" s="24" t="s">
        <v>123</v>
      </c>
      <c r="H19" s="22" t="s">
        <v>41</v>
      </c>
      <c r="I19" s="22" t="n">
        <v>1</v>
      </c>
      <c r="J19" s="22" t="n">
        <v>10</v>
      </c>
      <c r="K19" s="22" t="s">
        <v>124</v>
      </c>
      <c r="L19" s="22"/>
      <c r="M19" s="22"/>
      <c r="N19" s="24"/>
    </row>
    <row r="20" customFormat="false" ht="15" hidden="false" customHeight="false" outlineLevel="0" collapsed="false">
      <c r="A20" s="22" t="s">
        <v>55</v>
      </c>
      <c r="B20" s="22" t="s">
        <v>171</v>
      </c>
      <c r="C20" s="22" t="s">
        <v>172</v>
      </c>
      <c r="D20" s="22" t="s">
        <v>140</v>
      </c>
      <c r="E20" s="22"/>
      <c r="F20" s="23" t="s">
        <v>15</v>
      </c>
      <c r="G20" s="24" t="s">
        <v>123</v>
      </c>
      <c r="H20" s="22" t="s">
        <v>41</v>
      </c>
      <c r="I20" s="22" t="n">
        <v>1</v>
      </c>
      <c r="J20" s="22" t="n">
        <v>6</v>
      </c>
      <c r="K20" s="22" t="s">
        <v>124</v>
      </c>
      <c r="L20" s="22"/>
      <c r="M20" s="22"/>
      <c r="N20" s="24"/>
    </row>
    <row r="21" customFormat="false" ht="35.05" hidden="false" customHeight="false" outlineLevel="0" collapsed="false">
      <c r="A21" s="22" t="s">
        <v>55</v>
      </c>
      <c r="B21" s="22" t="s">
        <v>173</v>
      </c>
      <c r="C21" s="22" t="s">
        <v>174</v>
      </c>
      <c r="D21" s="22" t="s">
        <v>175</v>
      </c>
      <c r="E21" s="22"/>
      <c r="F21" s="25" t="s">
        <v>17</v>
      </c>
      <c r="G21" s="24" t="s">
        <v>137</v>
      </c>
      <c r="H21" s="22" t="s">
        <v>42</v>
      </c>
      <c r="I21" s="22" t="n">
        <v>1</v>
      </c>
      <c r="J21" s="22" t="n">
        <v>1</v>
      </c>
      <c r="K21" s="22" t="s">
        <v>124</v>
      </c>
      <c r="L21" s="22"/>
      <c r="M21" s="22"/>
      <c r="N21" s="24"/>
    </row>
    <row r="22" customFormat="false" ht="15" hidden="false" customHeight="false" outlineLevel="0" collapsed="false">
      <c r="A22" s="22" t="s">
        <v>55</v>
      </c>
      <c r="B22" s="22" t="s">
        <v>176</v>
      </c>
      <c r="C22" s="22" t="s">
        <v>177</v>
      </c>
      <c r="D22" s="22" t="s">
        <v>140</v>
      </c>
      <c r="E22" s="22"/>
      <c r="F22" s="23" t="s">
        <v>15</v>
      </c>
      <c r="G22" s="24" t="s">
        <v>123</v>
      </c>
      <c r="H22" s="22" t="s">
        <v>41</v>
      </c>
      <c r="I22" s="22" t="n">
        <v>1</v>
      </c>
      <c r="J22" s="22" t="n">
        <v>6</v>
      </c>
      <c r="K22" s="22" t="s">
        <v>124</v>
      </c>
      <c r="L22" s="22"/>
      <c r="M22" s="22"/>
      <c r="N22" s="24"/>
    </row>
    <row r="23" customFormat="false" ht="23.85" hidden="false" customHeight="false" outlineLevel="0" collapsed="false">
      <c r="A23" s="22" t="s">
        <v>55</v>
      </c>
      <c r="B23" s="22" t="s">
        <v>178</v>
      </c>
      <c r="C23" s="22" t="s">
        <v>179</v>
      </c>
      <c r="D23" s="22" t="s">
        <v>180</v>
      </c>
      <c r="E23" s="22"/>
      <c r="F23" s="27" t="s">
        <v>19</v>
      </c>
      <c r="G23" s="24" t="s">
        <v>181</v>
      </c>
      <c r="H23" s="22" t="s">
        <v>42</v>
      </c>
      <c r="I23" s="22" t="n">
        <v>1</v>
      </c>
      <c r="J23" s="22" t="n">
        <v>1</v>
      </c>
      <c r="K23" s="22" t="s">
        <v>124</v>
      </c>
      <c r="L23" s="22"/>
      <c r="M23" s="22"/>
      <c r="N23" s="24"/>
    </row>
    <row r="24" customFormat="false" ht="35.05" hidden="false" customHeight="false" outlineLevel="0" collapsed="false">
      <c r="A24" s="22" t="s">
        <v>55</v>
      </c>
      <c r="B24" s="22" t="s">
        <v>182</v>
      </c>
      <c r="C24" s="22" t="s">
        <v>183</v>
      </c>
      <c r="D24" s="22" t="s">
        <v>184</v>
      </c>
      <c r="E24" s="22"/>
      <c r="F24" s="25" t="s">
        <v>17</v>
      </c>
      <c r="G24" s="24" t="s">
        <v>137</v>
      </c>
      <c r="H24" s="22" t="s">
        <v>42</v>
      </c>
      <c r="I24" s="22" t="n">
        <v>1</v>
      </c>
      <c r="J24" s="22" t="n">
        <v>1</v>
      </c>
      <c r="K24" s="22" t="s">
        <v>124</v>
      </c>
      <c r="L24" s="22"/>
      <c r="M24" s="22"/>
      <c r="N24" s="24"/>
    </row>
    <row r="25" customFormat="false" ht="15" hidden="false" customHeight="false" outlineLevel="0" collapsed="false">
      <c r="A25" s="22" t="s">
        <v>55</v>
      </c>
      <c r="B25" s="22" t="s">
        <v>185</v>
      </c>
      <c r="C25" s="22" t="s">
        <v>186</v>
      </c>
      <c r="D25" s="22" t="s">
        <v>122</v>
      </c>
      <c r="E25" s="22"/>
      <c r="F25" s="23" t="s">
        <v>15</v>
      </c>
      <c r="G25" s="24" t="s">
        <v>123</v>
      </c>
      <c r="H25" s="22" t="s">
        <v>41</v>
      </c>
      <c r="I25" s="22" t="n">
        <v>1</v>
      </c>
      <c r="J25" s="22" t="n">
        <v>10</v>
      </c>
      <c r="K25" s="22" t="s">
        <v>124</v>
      </c>
      <c r="L25" s="22"/>
      <c r="M25" s="22"/>
      <c r="N25" s="24"/>
    </row>
    <row r="26" customFormat="false" ht="15" hidden="false" customHeight="false" outlineLevel="0" collapsed="false">
      <c r="A26" s="22" t="s">
        <v>55</v>
      </c>
      <c r="B26" s="22" t="s">
        <v>187</v>
      </c>
      <c r="C26" s="22" t="s">
        <v>188</v>
      </c>
      <c r="D26" s="22" t="s">
        <v>140</v>
      </c>
      <c r="E26" s="22"/>
      <c r="F26" s="23" t="s">
        <v>15</v>
      </c>
      <c r="G26" s="24" t="s">
        <v>123</v>
      </c>
      <c r="H26" s="22" t="s">
        <v>41</v>
      </c>
      <c r="I26" s="22" t="n">
        <v>1</v>
      </c>
      <c r="J26" s="22" t="n">
        <v>6</v>
      </c>
      <c r="K26" s="22" t="s">
        <v>124</v>
      </c>
      <c r="L26" s="22"/>
      <c r="M26" s="22"/>
      <c r="N26" s="24"/>
    </row>
    <row r="27" customFormat="false" ht="15" hidden="false" customHeight="false" outlineLevel="0" collapsed="false">
      <c r="A27" s="22" t="s">
        <v>55</v>
      </c>
      <c r="B27" s="22" t="s">
        <v>189</v>
      </c>
      <c r="C27" s="22" t="s">
        <v>190</v>
      </c>
      <c r="D27" s="22" t="s">
        <v>191</v>
      </c>
      <c r="E27" s="22"/>
      <c r="F27" s="23" t="s">
        <v>15</v>
      </c>
      <c r="G27" s="24" t="s">
        <v>123</v>
      </c>
      <c r="H27" s="22" t="s">
        <v>41</v>
      </c>
      <c r="I27" s="22" t="n">
        <v>1</v>
      </c>
      <c r="J27" s="22" t="n">
        <v>4</v>
      </c>
      <c r="K27" s="22" t="s">
        <v>124</v>
      </c>
      <c r="L27" s="22"/>
      <c r="M27" s="22"/>
      <c r="N27" s="24"/>
    </row>
    <row r="28" customFormat="false" ht="15" hidden="false" customHeight="false" outlineLevel="0" collapsed="false">
      <c r="A28" s="22" t="s">
        <v>55</v>
      </c>
      <c r="B28" s="22" t="s">
        <v>192</v>
      </c>
      <c r="C28" s="22" t="s">
        <v>128</v>
      </c>
      <c r="D28" s="22" t="s">
        <v>129</v>
      </c>
      <c r="E28" s="22"/>
      <c r="F28" s="23" t="s">
        <v>15</v>
      </c>
      <c r="G28" s="24" t="s">
        <v>123</v>
      </c>
      <c r="H28" s="22" t="s">
        <v>41</v>
      </c>
      <c r="I28" s="22" t="n">
        <v>1</v>
      </c>
      <c r="J28" s="22" t="n">
        <v>6</v>
      </c>
      <c r="K28" s="22" t="s">
        <v>124</v>
      </c>
      <c r="L28" s="22"/>
      <c r="M28" s="22"/>
      <c r="N28" s="24"/>
    </row>
    <row r="29" customFormat="false" ht="15" hidden="false" customHeight="false" outlineLevel="0" collapsed="false">
      <c r="A29" s="22" t="s">
        <v>55</v>
      </c>
      <c r="B29" s="22" t="s">
        <v>193</v>
      </c>
      <c r="C29" s="22" t="s">
        <v>194</v>
      </c>
      <c r="D29" s="22" t="s">
        <v>122</v>
      </c>
      <c r="E29" s="22"/>
      <c r="F29" s="23" t="s">
        <v>15</v>
      </c>
      <c r="G29" s="24" t="s">
        <v>123</v>
      </c>
      <c r="H29" s="22" t="s">
        <v>41</v>
      </c>
      <c r="I29" s="22" t="n">
        <v>1</v>
      </c>
      <c r="J29" s="22" t="n">
        <v>10</v>
      </c>
      <c r="K29" s="22" t="s">
        <v>124</v>
      </c>
      <c r="L29" s="22"/>
      <c r="M29" s="22"/>
      <c r="N29" s="24"/>
    </row>
    <row r="30" customFormat="false" ht="15" hidden="false" customHeight="false" outlineLevel="0" collapsed="false">
      <c r="A30" s="22" t="s">
        <v>55</v>
      </c>
      <c r="B30" s="22" t="s">
        <v>195</v>
      </c>
      <c r="C30" s="22" t="s">
        <v>128</v>
      </c>
      <c r="D30" s="22" t="s">
        <v>129</v>
      </c>
      <c r="E30" s="22"/>
      <c r="F30" s="23" t="s">
        <v>15</v>
      </c>
      <c r="G30" s="24" t="s">
        <v>123</v>
      </c>
      <c r="H30" s="22" t="s">
        <v>41</v>
      </c>
      <c r="I30" s="22" t="n">
        <v>1</v>
      </c>
      <c r="J30" s="22" t="n">
        <v>6</v>
      </c>
      <c r="K30" s="22" t="s">
        <v>124</v>
      </c>
      <c r="L30" s="22"/>
      <c r="M30" s="22"/>
      <c r="N30" s="24"/>
    </row>
    <row r="31" customFormat="false" ht="15" hidden="false" customHeight="false" outlineLevel="0" collapsed="false">
      <c r="A31" s="22" t="s">
        <v>55</v>
      </c>
      <c r="B31" s="22" t="s">
        <v>196</v>
      </c>
      <c r="C31" s="22" t="s">
        <v>197</v>
      </c>
      <c r="D31" s="22" t="s">
        <v>122</v>
      </c>
      <c r="E31" s="22"/>
      <c r="F31" s="23" t="s">
        <v>15</v>
      </c>
      <c r="G31" s="24" t="s">
        <v>123</v>
      </c>
      <c r="H31" s="22" t="s">
        <v>41</v>
      </c>
      <c r="I31" s="22" t="n">
        <v>1</v>
      </c>
      <c r="J31" s="22" t="n">
        <v>10</v>
      </c>
      <c r="K31" s="22" t="s">
        <v>124</v>
      </c>
      <c r="L31" s="22"/>
      <c r="M31" s="22"/>
      <c r="N31" s="24"/>
    </row>
    <row r="32" customFormat="false" ht="15" hidden="false" customHeight="false" outlineLevel="0" collapsed="false">
      <c r="A32" s="22" t="s">
        <v>55</v>
      </c>
      <c r="B32" s="22" t="s">
        <v>198</v>
      </c>
      <c r="C32" s="22" t="s">
        <v>128</v>
      </c>
      <c r="D32" s="22" t="s">
        <v>129</v>
      </c>
      <c r="E32" s="22"/>
      <c r="F32" s="23" t="s">
        <v>15</v>
      </c>
      <c r="G32" s="24" t="s">
        <v>123</v>
      </c>
      <c r="H32" s="22" t="s">
        <v>41</v>
      </c>
      <c r="I32" s="22" t="n">
        <v>1</v>
      </c>
      <c r="J32" s="22" t="n">
        <v>6</v>
      </c>
      <c r="K32" s="22" t="s">
        <v>124</v>
      </c>
      <c r="L32" s="22"/>
      <c r="M32" s="22"/>
      <c r="N32" s="24"/>
    </row>
    <row r="33" customFormat="false" ht="15" hidden="false" customHeight="false" outlineLevel="0" collapsed="false">
      <c r="A33" s="22" t="s">
        <v>55</v>
      </c>
      <c r="B33" s="22" t="s">
        <v>199</v>
      </c>
      <c r="C33" s="22" t="s">
        <v>200</v>
      </c>
      <c r="D33" s="22" t="s">
        <v>122</v>
      </c>
      <c r="E33" s="22"/>
      <c r="F33" s="23" t="s">
        <v>15</v>
      </c>
      <c r="G33" s="24" t="s">
        <v>123</v>
      </c>
      <c r="H33" s="22" t="s">
        <v>41</v>
      </c>
      <c r="I33" s="22" t="n">
        <v>1</v>
      </c>
      <c r="J33" s="22" t="n">
        <v>10</v>
      </c>
      <c r="K33" s="22" t="s">
        <v>124</v>
      </c>
      <c r="L33" s="22"/>
      <c r="M33" s="22"/>
      <c r="N33" s="24"/>
    </row>
    <row r="34" customFormat="false" ht="15" hidden="false" customHeight="false" outlineLevel="0" collapsed="false">
      <c r="A34" s="22" t="s">
        <v>55</v>
      </c>
      <c r="B34" s="22" t="s">
        <v>201</v>
      </c>
      <c r="C34" s="22" t="s">
        <v>202</v>
      </c>
      <c r="D34" s="22" t="s">
        <v>122</v>
      </c>
      <c r="E34" s="22"/>
      <c r="F34" s="23" t="s">
        <v>15</v>
      </c>
      <c r="G34" s="24" t="s">
        <v>123</v>
      </c>
      <c r="H34" s="22" t="s">
        <v>41</v>
      </c>
      <c r="I34" s="22" t="n">
        <v>1</v>
      </c>
      <c r="J34" s="22" t="n">
        <v>10</v>
      </c>
      <c r="K34" s="22" t="s">
        <v>124</v>
      </c>
      <c r="L34" s="22"/>
      <c r="M34" s="22"/>
      <c r="N34" s="24"/>
    </row>
    <row r="35" customFormat="false" ht="35.05" hidden="false" customHeight="false" outlineLevel="0" collapsed="false">
      <c r="A35" s="22" t="s">
        <v>55</v>
      </c>
      <c r="B35" s="22" t="s">
        <v>203</v>
      </c>
      <c r="C35" s="22" t="s">
        <v>204</v>
      </c>
      <c r="D35" s="22" t="s">
        <v>205</v>
      </c>
      <c r="E35" s="22"/>
      <c r="F35" s="25" t="s">
        <v>17</v>
      </c>
      <c r="G35" s="24" t="s">
        <v>133</v>
      </c>
      <c r="H35" s="22" t="s">
        <v>42</v>
      </c>
      <c r="I35" s="22" t="n">
        <v>1</v>
      </c>
      <c r="J35" s="22" t="n">
        <v>1</v>
      </c>
      <c r="K35" s="22" t="s">
        <v>124</v>
      </c>
      <c r="L35" s="22"/>
      <c r="M35" s="22"/>
      <c r="N35" s="24"/>
    </row>
    <row r="36" customFormat="false" ht="15" hidden="false" customHeight="false" outlineLevel="0" collapsed="false">
      <c r="A36" s="22" t="s">
        <v>55</v>
      </c>
      <c r="B36" s="22" t="s">
        <v>206</v>
      </c>
      <c r="C36" s="22" t="s">
        <v>207</v>
      </c>
      <c r="D36" s="22" t="s">
        <v>122</v>
      </c>
      <c r="E36" s="22"/>
      <c r="F36" s="23" t="s">
        <v>15</v>
      </c>
      <c r="G36" s="24" t="s">
        <v>123</v>
      </c>
      <c r="H36" s="22" t="s">
        <v>41</v>
      </c>
      <c r="I36" s="22" t="n">
        <v>1</v>
      </c>
      <c r="J36" s="22" t="n">
        <v>10</v>
      </c>
      <c r="K36" s="22" t="s">
        <v>124</v>
      </c>
      <c r="L36" s="22"/>
      <c r="M36" s="22"/>
      <c r="N36" s="24"/>
    </row>
    <row r="37" customFormat="false" ht="15" hidden="false" customHeight="false" outlineLevel="0" collapsed="false">
      <c r="A37" s="22" t="s">
        <v>55</v>
      </c>
      <c r="B37" s="22" t="s">
        <v>208</v>
      </c>
      <c r="C37" s="22" t="s">
        <v>209</v>
      </c>
      <c r="D37" s="22" t="s">
        <v>210</v>
      </c>
      <c r="E37" s="22"/>
      <c r="F37" s="23" t="s">
        <v>15</v>
      </c>
      <c r="G37" s="24" t="s">
        <v>123</v>
      </c>
      <c r="H37" s="22" t="s">
        <v>41</v>
      </c>
      <c r="I37" s="22" t="n">
        <v>1</v>
      </c>
      <c r="J37" s="22" t="n">
        <v>4</v>
      </c>
      <c r="K37" s="22" t="s">
        <v>124</v>
      </c>
      <c r="L37" s="22"/>
      <c r="M37" s="22"/>
      <c r="N37" s="24"/>
    </row>
    <row r="38" customFormat="false" ht="15" hidden="false" customHeight="false" outlineLevel="0" collapsed="false">
      <c r="A38" s="22" t="s">
        <v>55</v>
      </c>
      <c r="B38" s="22" t="s">
        <v>211</v>
      </c>
      <c r="C38" s="22" t="s">
        <v>212</v>
      </c>
      <c r="D38" s="22" t="s">
        <v>213</v>
      </c>
      <c r="E38" s="22"/>
      <c r="F38" s="23" t="s">
        <v>15</v>
      </c>
      <c r="G38" s="24" t="s">
        <v>123</v>
      </c>
      <c r="H38" s="22" t="s">
        <v>41</v>
      </c>
      <c r="I38" s="22" t="n">
        <v>1</v>
      </c>
      <c r="J38" s="22" t="n">
        <v>4</v>
      </c>
      <c r="K38" s="22" t="s">
        <v>124</v>
      </c>
      <c r="L38" s="22"/>
      <c r="M38" s="22"/>
      <c r="N38" s="24"/>
    </row>
    <row r="39" customFormat="false" ht="35.05" hidden="false" customHeight="false" outlineLevel="0" collapsed="false">
      <c r="A39" s="22" t="s">
        <v>57</v>
      </c>
      <c r="B39" s="22" t="s">
        <v>214</v>
      </c>
      <c r="C39" s="22" t="s">
        <v>215</v>
      </c>
      <c r="D39" s="22" t="s">
        <v>216</v>
      </c>
      <c r="E39" s="22"/>
      <c r="F39" s="25" t="s">
        <v>17</v>
      </c>
      <c r="G39" s="24" t="s">
        <v>137</v>
      </c>
      <c r="H39" s="22" t="s">
        <v>42</v>
      </c>
      <c r="I39" s="22" t="n">
        <v>2</v>
      </c>
      <c r="J39" s="22" t="n">
        <v>1</v>
      </c>
      <c r="K39" s="22" t="s">
        <v>124</v>
      </c>
      <c r="L39" s="22"/>
      <c r="M39" s="22"/>
      <c r="N39" s="24"/>
    </row>
    <row r="40" customFormat="false" ht="35.05" hidden="false" customHeight="false" outlineLevel="0" collapsed="false">
      <c r="A40" s="22" t="s">
        <v>57</v>
      </c>
      <c r="B40" s="22" t="s">
        <v>217</v>
      </c>
      <c r="C40" s="22" t="s">
        <v>218</v>
      </c>
      <c r="D40" s="22" t="s">
        <v>219</v>
      </c>
      <c r="E40" s="22"/>
      <c r="F40" s="25" t="s">
        <v>17</v>
      </c>
      <c r="G40" s="24" t="s">
        <v>137</v>
      </c>
      <c r="H40" s="22" t="s">
        <v>42</v>
      </c>
      <c r="I40" s="22" t="n">
        <v>2</v>
      </c>
      <c r="J40" s="22" t="n">
        <v>1</v>
      </c>
      <c r="K40" s="22" t="s">
        <v>124</v>
      </c>
      <c r="L40" s="22"/>
      <c r="M40" s="22"/>
      <c r="N40" s="24"/>
    </row>
    <row r="41" customFormat="false" ht="35.05" hidden="false" customHeight="false" outlineLevel="0" collapsed="false">
      <c r="A41" s="22" t="s">
        <v>57</v>
      </c>
      <c r="B41" s="22" t="s">
        <v>220</v>
      </c>
      <c r="C41" s="22" t="s">
        <v>221</v>
      </c>
      <c r="D41" s="22" t="s">
        <v>222</v>
      </c>
      <c r="E41" s="22"/>
      <c r="F41" s="25" t="s">
        <v>17</v>
      </c>
      <c r="G41" s="24" t="s">
        <v>137</v>
      </c>
      <c r="H41" s="22" t="s">
        <v>42</v>
      </c>
      <c r="I41" s="22" t="n">
        <v>2</v>
      </c>
      <c r="J41" s="22" t="n">
        <v>1</v>
      </c>
      <c r="K41" s="22" t="s">
        <v>124</v>
      </c>
      <c r="L41" s="22"/>
      <c r="M41" s="22"/>
      <c r="N41" s="24"/>
    </row>
    <row r="42" customFormat="false" ht="15" hidden="false" customHeight="false" outlineLevel="0" collapsed="false">
      <c r="A42" s="22" t="s">
        <v>57</v>
      </c>
      <c r="B42" s="22" t="s">
        <v>223</v>
      </c>
      <c r="C42" s="22" t="s">
        <v>224</v>
      </c>
      <c r="D42" s="22" t="s">
        <v>225</v>
      </c>
      <c r="E42" s="22"/>
      <c r="F42" s="23" t="s">
        <v>15</v>
      </c>
      <c r="G42" s="24" t="s">
        <v>123</v>
      </c>
      <c r="H42" s="22" t="s">
        <v>41</v>
      </c>
      <c r="I42" s="22" t="n">
        <v>2</v>
      </c>
      <c r="J42" s="22" t="n">
        <v>2</v>
      </c>
      <c r="K42" s="22" t="s">
        <v>124</v>
      </c>
      <c r="L42" s="22"/>
      <c r="M42" s="22"/>
      <c r="N42" s="24"/>
    </row>
    <row r="43" customFormat="false" ht="35.05" hidden="false" customHeight="false" outlineLevel="0" collapsed="false">
      <c r="A43" s="22" t="s">
        <v>57</v>
      </c>
      <c r="B43" s="22" t="s">
        <v>226</v>
      </c>
      <c r="C43" s="22" t="s">
        <v>227</v>
      </c>
      <c r="D43" s="22" t="s">
        <v>228</v>
      </c>
      <c r="E43" s="22"/>
      <c r="F43" s="25" t="s">
        <v>17</v>
      </c>
      <c r="G43" s="24" t="s">
        <v>133</v>
      </c>
      <c r="H43" s="22" t="s">
        <v>42</v>
      </c>
      <c r="I43" s="22" t="n">
        <v>2</v>
      </c>
      <c r="J43" s="22" t="n">
        <v>1</v>
      </c>
      <c r="K43" s="22" t="s">
        <v>124</v>
      </c>
      <c r="L43" s="22"/>
      <c r="M43" s="22"/>
      <c r="N43" s="24"/>
    </row>
    <row r="44" customFormat="false" ht="15" hidden="false" customHeight="false" outlineLevel="0" collapsed="false">
      <c r="A44" s="22" t="s">
        <v>57</v>
      </c>
      <c r="B44" s="22" t="s">
        <v>229</v>
      </c>
      <c r="C44" s="22" t="s">
        <v>230</v>
      </c>
      <c r="D44" s="22" t="s">
        <v>231</v>
      </c>
      <c r="E44" s="22"/>
      <c r="F44" s="23" t="s">
        <v>15</v>
      </c>
      <c r="G44" s="24" t="s">
        <v>123</v>
      </c>
      <c r="H44" s="22" t="s">
        <v>41</v>
      </c>
      <c r="I44" s="22" t="n">
        <v>2</v>
      </c>
      <c r="J44" s="22" t="n">
        <v>2</v>
      </c>
      <c r="K44" s="22" t="s">
        <v>124</v>
      </c>
      <c r="L44" s="22"/>
      <c r="M44" s="22"/>
      <c r="N44" s="24"/>
    </row>
    <row r="45" customFormat="false" ht="35.05" hidden="false" customHeight="false" outlineLevel="0" collapsed="false">
      <c r="A45" s="22" t="s">
        <v>57</v>
      </c>
      <c r="B45" s="22" t="s">
        <v>232</v>
      </c>
      <c r="C45" s="22" t="s">
        <v>233</v>
      </c>
      <c r="D45" s="22" t="s">
        <v>234</v>
      </c>
      <c r="E45" s="22"/>
      <c r="F45" s="25" t="s">
        <v>17</v>
      </c>
      <c r="G45" s="24" t="s">
        <v>137</v>
      </c>
      <c r="H45" s="22" t="s">
        <v>42</v>
      </c>
      <c r="I45" s="22" t="n">
        <v>2</v>
      </c>
      <c r="J45" s="22" t="n">
        <v>1</v>
      </c>
      <c r="K45" s="22" t="s">
        <v>124</v>
      </c>
      <c r="L45" s="22"/>
      <c r="M45" s="22"/>
      <c r="N45" s="24"/>
    </row>
    <row r="46" customFormat="false" ht="35.05" hidden="false" customHeight="false" outlineLevel="0" collapsed="false">
      <c r="A46" s="22" t="s">
        <v>57</v>
      </c>
      <c r="B46" s="22" t="s">
        <v>235</v>
      </c>
      <c r="C46" s="22" t="s">
        <v>236</v>
      </c>
      <c r="D46" s="22" t="s">
        <v>237</v>
      </c>
      <c r="E46" s="22"/>
      <c r="F46" s="25" t="s">
        <v>17</v>
      </c>
      <c r="G46" s="24" t="s">
        <v>133</v>
      </c>
      <c r="H46" s="22" t="s">
        <v>42</v>
      </c>
      <c r="I46" s="22" t="n">
        <v>2</v>
      </c>
      <c r="J46" s="22" t="n">
        <v>1</v>
      </c>
      <c r="K46" s="22" t="s">
        <v>124</v>
      </c>
      <c r="L46" s="22"/>
      <c r="M46" s="22"/>
      <c r="N46" s="24"/>
    </row>
    <row r="47" customFormat="false" ht="35.05" hidden="false" customHeight="false" outlineLevel="0" collapsed="false">
      <c r="A47" s="22" t="s">
        <v>57</v>
      </c>
      <c r="B47" s="22" t="s">
        <v>238</v>
      </c>
      <c r="C47" s="22" t="s">
        <v>239</v>
      </c>
      <c r="D47" s="22" t="s">
        <v>240</v>
      </c>
      <c r="E47" s="22"/>
      <c r="F47" s="25" t="s">
        <v>17</v>
      </c>
      <c r="G47" s="24" t="s">
        <v>137</v>
      </c>
      <c r="H47" s="22" t="s">
        <v>42</v>
      </c>
      <c r="I47" s="22" t="n">
        <v>2</v>
      </c>
      <c r="J47" s="22" t="n">
        <v>1</v>
      </c>
      <c r="K47" s="22" t="s">
        <v>124</v>
      </c>
      <c r="L47" s="22"/>
      <c r="M47" s="22"/>
      <c r="N47" s="24"/>
    </row>
    <row r="48" customFormat="false" ht="35.05" hidden="false" customHeight="false" outlineLevel="0" collapsed="false">
      <c r="A48" s="22" t="s">
        <v>57</v>
      </c>
      <c r="B48" s="22" t="s">
        <v>241</v>
      </c>
      <c r="C48" s="22" t="s">
        <v>242</v>
      </c>
      <c r="D48" s="22" t="s">
        <v>243</v>
      </c>
      <c r="E48" s="22"/>
      <c r="F48" s="25" t="s">
        <v>17</v>
      </c>
      <c r="G48" s="24" t="s">
        <v>137</v>
      </c>
      <c r="H48" s="22" t="s">
        <v>42</v>
      </c>
      <c r="I48" s="22" t="n">
        <v>2</v>
      </c>
      <c r="J48" s="22" t="n">
        <v>1</v>
      </c>
      <c r="K48" s="22" t="s">
        <v>124</v>
      </c>
      <c r="L48" s="22"/>
      <c r="M48" s="22"/>
      <c r="N48" s="24"/>
    </row>
    <row r="49" customFormat="false" ht="35.05" hidden="false" customHeight="false" outlineLevel="0" collapsed="false">
      <c r="A49" s="22" t="s">
        <v>57</v>
      </c>
      <c r="B49" s="22" t="s">
        <v>244</v>
      </c>
      <c r="C49" s="22" t="s">
        <v>245</v>
      </c>
      <c r="D49" s="22" t="s">
        <v>246</v>
      </c>
      <c r="E49" s="22"/>
      <c r="F49" s="25" t="s">
        <v>17</v>
      </c>
      <c r="G49" s="24" t="s">
        <v>133</v>
      </c>
      <c r="H49" s="22" t="s">
        <v>42</v>
      </c>
      <c r="I49" s="22" t="n">
        <v>2</v>
      </c>
      <c r="J49" s="22" t="n">
        <v>1</v>
      </c>
      <c r="K49" s="22" t="s">
        <v>124</v>
      </c>
      <c r="L49" s="22"/>
      <c r="M49" s="22"/>
      <c r="N49" s="24"/>
    </row>
    <row r="50" customFormat="false" ht="15" hidden="false" customHeight="false" outlineLevel="0" collapsed="false">
      <c r="A50" s="22" t="s">
        <v>57</v>
      </c>
      <c r="B50" s="22" t="s">
        <v>247</v>
      </c>
      <c r="C50" s="22" t="s">
        <v>248</v>
      </c>
      <c r="D50" s="22" t="s">
        <v>249</v>
      </c>
      <c r="E50" s="22"/>
      <c r="F50" s="23" t="s">
        <v>15</v>
      </c>
      <c r="G50" s="24" t="s">
        <v>123</v>
      </c>
      <c r="H50" s="22" t="s">
        <v>41</v>
      </c>
      <c r="I50" s="22" t="n">
        <v>2</v>
      </c>
      <c r="J50" s="22" t="n">
        <v>3</v>
      </c>
      <c r="K50" s="22" t="s">
        <v>124</v>
      </c>
      <c r="L50" s="22"/>
      <c r="M50" s="22"/>
      <c r="N50" s="24"/>
    </row>
    <row r="51" customFormat="false" ht="35.05" hidden="false" customHeight="false" outlineLevel="0" collapsed="false">
      <c r="A51" s="22" t="s">
        <v>57</v>
      </c>
      <c r="B51" s="22" t="s">
        <v>250</v>
      </c>
      <c r="C51" s="22" t="s">
        <v>251</v>
      </c>
      <c r="D51" s="22" t="s">
        <v>252</v>
      </c>
      <c r="E51" s="22"/>
      <c r="F51" s="25" t="s">
        <v>17</v>
      </c>
      <c r="G51" s="24" t="s">
        <v>133</v>
      </c>
      <c r="H51" s="22" t="s">
        <v>42</v>
      </c>
      <c r="I51" s="22" t="n">
        <v>2</v>
      </c>
      <c r="J51" s="22" t="n">
        <v>1</v>
      </c>
      <c r="K51" s="22" t="s">
        <v>124</v>
      </c>
      <c r="L51" s="22"/>
      <c r="M51" s="22"/>
      <c r="N51" s="24"/>
    </row>
    <row r="52" customFormat="false" ht="15" hidden="false" customHeight="false" outlineLevel="0" collapsed="false">
      <c r="A52" s="22" t="s">
        <v>57</v>
      </c>
      <c r="B52" s="22" t="s">
        <v>253</v>
      </c>
      <c r="C52" s="22" t="s">
        <v>248</v>
      </c>
      <c r="D52" s="22" t="s">
        <v>254</v>
      </c>
      <c r="E52" s="22"/>
      <c r="F52" s="23" t="s">
        <v>15</v>
      </c>
      <c r="G52" s="24" t="s">
        <v>123</v>
      </c>
      <c r="H52" s="22" t="s">
        <v>41</v>
      </c>
      <c r="I52" s="22" t="n">
        <v>2</v>
      </c>
      <c r="J52" s="22" t="n">
        <v>3</v>
      </c>
      <c r="K52" s="22" t="s">
        <v>124</v>
      </c>
      <c r="L52" s="22"/>
      <c r="M52" s="22"/>
      <c r="N52" s="24"/>
    </row>
    <row r="53" customFormat="false" ht="35.05" hidden="false" customHeight="false" outlineLevel="0" collapsed="false">
      <c r="A53" s="22" t="s">
        <v>57</v>
      </c>
      <c r="B53" s="22" t="s">
        <v>255</v>
      </c>
      <c r="C53" s="22" t="s">
        <v>256</v>
      </c>
      <c r="D53" s="22" t="s">
        <v>257</v>
      </c>
      <c r="E53" s="22"/>
      <c r="F53" s="25" t="s">
        <v>17</v>
      </c>
      <c r="G53" s="24" t="s">
        <v>133</v>
      </c>
      <c r="H53" s="22" t="s">
        <v>42</v>
      </c>
      <c r="I53" s="22" t="n">
        <v>2</v>
      </c>
      <c r="J53" s="22" t="n">
        <v>1</v>
      </c>
      <c r="K53" s="22" t="s">
        <v>124</v>
      </c>
      <c r="L53" s="22"/>
      <c r="M53" s="22"/>
      <c r="N53" s="24"/>
    </row>
    <row r="54" customFormat="false" ht="15" hidden="false" customHeight="false" outlineLevel="0" collapsed="false">
      <c r="A54" s="22" t="s">
        <v>57</v>
      </c>
      <c r="B54" s="22" t="s">
        <v>258</v>
      </c>
      <c r="C54" s="22" t="s">
        <v>259</v>
      </c>
      <c r="D54" s="22" t="s">
        <v>168</v>
      </c>
      <c r="E54" s="22"/>
      <c r="F54" s="23" t="s">
        <v>15</v>
      </c>
      <c r="G54" s="24" t="s">
        <v>123</v>
      </c>
      <c r="H54" s="22" t="s">
        <v>41</v>
      </c>
      <c r="I54" s="22" t="n">
        <v>2</v>
      </c>
      <c r="J54" s="22" t="n">
        <v>9</v>
      </c>
      <c r="K54" s="22" t="s">
        <v>124</v>
      </c>
      <c r="L54" s="22"/>
      <c r="M54" s="22"/>
      <c r="N54" s="24"/>
    </row>
    <row r="55" customFormat="false" ht="35.05" hidden="false" customHeight="false" outlineLevel="0" collapsed="false">
      <c r="A55" s="22" t="s">
        <v>57</v>
      </c>
      <c r="B55" s="22" t="s">
        <v>260</v>
      </c>
      <c r="C55" s="22" t="s">
        <v>261</v>
      </c>
      <c r="D55" s="22" t="s">
        <v>262</v>
      </c>
      <c r="E55" s="22"/>
      <c r="F55" s="25" t="s">
        <v>17</v>
      </c>
      <c r="G55" s="24" t="s">
        <v>137</v>
      </c>
      <c r="H55" s="22" t="s">
        <v>42</v>
      </c>
      <c r="I55" s="22" t="n">
        <v>2</v>
      </c>
      <c r="J55" s="22" t="n">
        <v>1</v>
      </c>
      <c r="K55" s="22" t="s">
        <v>124</v>
      </c>
      <c r="L55" s="22"/>
      <c r="M55" s="22"/>
      <c r="N55" s="24"/>
    </row>
    <row r="56" customFormat="false" ht="35.05" hidden="false" customHeight="false" outlineLevel="0" collapsed="false">
      <c r="A56" s="22" t="s">
        <v>57</v>
      </c>
      <c r="B56" s="22" t="s">
        <v>263</v>
      </c>
      <c r="C56" s="22" t="s">
        <v>264</v>
      </c>
      <c r="D56" s="22" t="s">
        <v>265</v>
      </c>
      <c r="E56" s="22"/>
      <c r="F56" s="25" t="s">
        <v>17</v>
      </c>
      <c r="G56" s="24" t="s">
        <v>133</v>
      </c>
      <c r="H56" s="22" t="s">
        <v>42</v>
      </c>
      <c r="I56" s="22" t="n">
        <v>2</v>
      </c>
      <c r="J56" s="22" t="n">
        <v>1</v>
      </c>
      <c r="K56" s="22" t="s">
        <v>124</v>
      </c>
      <c r="L56" s="22"/>
      <c r="M56" s="22"/>
      <c r="N56" s="24"/>
    </row>
    <row r="57" customFormat="false" ht="35.05" hidden="false" customHeight="false" outlineLevel="0" collapsed="false">
      <c r="A57" s="22" t="s">
        <v>57</v>
      </c>
      <c r="B57" s="22" t="s">
        <v>266</v>
      </c>
      <c r="C57" s="22" t="s">
        <v>267</v>
      </c>
      <c r="D57" s="22" t="s">
        <v>268</v>
      </c>
      <c r="E57" s="22"/>
      <c r="F57" s="25" t="s">
        <v>17</v>
      </c>
      <c r="G57" s="24" t="s">
        <v>133</v>
      </c>
      <c r="H57" s="22" t="s">
        <v>42</v>
      </c>
      <c r="I57" s="22" t="n">
        <v>2</v>
      </c>
      <c r="J57" s="22" t="n">
        <v>2</v>
      </c>
      <c r="K57" s="22" t="s">
        <v>124</v>
      </c>
      <c r="L57" s="22"/>
      <c r="M57" s="22"/>
      <c r="N57" s="24"/>
    </row>
    <row r="58" customFormat="false" ht="23.85" hidden="false" customHeight="false" outlineLevel="0" collapsed="false">
      <c r="A58" s="22" t="s">
        <v>57</v>
      </c>
      <c r="B58" s="22" t="s">
        <v>269</v>
      </c>
      <c r="C58" s="22" t="s">
        <v>270</v>
      </c>
      <c r="D58" s="22" t="s">
        <v>271</v>
      </c>
      <c r="E58" s="22"/>
      <c r="F58" s="27" t="s">
        <v>19</v>
      </c>
      <c r="G58" s="24" t="s">
        <v>181</v>
      </c>
      <c r="H58" s="22" t="s">
        <v>42</v>
      </c>
      <c r="I58" s="22" t="n">
        <v>2</v>
      </c>
      <c r="J58" s="22" t="n">
        <v>1</v>
      </c>
      <c r="K58" s="22" t="s">
        <v>124</v>
      </c>
      <c r="L58" s="22"/>
      <c r="M58" s="22"/>
      <c r="N58" s="24"/>
    </row>
    <row r="59" customFormat="false" ht="15" hidden="false" customHeight="false" outlineLevel="0" collapsed="false">
      <c r="A59" s="22" t="s">
        <v>57</v>
      </c>
      <c r="B59" s="22" t="s">
        <v>272</v>
      </c>
      <c r="C59" s="22" t="s">
        <v>273</v>
      </c>
      <c r="D59" s="22" t="s">
        <v>274</v>
      </c>
      <c r="E59" s="22"/>
      <c r="F59" s="23" t="s">
        <v>15</v>
      </c>
      <c r="G59" s="24" t="s">
        <v>123</v>
      </c>
      <c r="H59" s="22" t="s">
        <v>41</v>
      </c>
      <c r="I59" s="22" t="n">
        <v>2</v>
      </c>
      <c r="J59" s="22" t="n">
        <v>3</v>
      </c>
      <c r="K59" s="22" t="s">
        <v>124</v>
      </c>
      <c r="L59" s="22"/>
      <c r="M59" s="22"/>
      <c r="N59" s="24"/>
    </row>
    <row r="60" customFormat="false" ht="35.05" hidden="false" customHeight="false" outlineLevel="0" collapsed="false">
      <c r="A60" s="22" t="s">
        <v>57</v>
      </c>
      <c r="B60" s="22" t="s">
        <v>275</v>
      </c>
      <c r="C60" s="22" t="s">
        <v>276</v>
      </c>
      <c r="D60" s="22" t="s">
        <v>277</v>
      </c>
      <c r="E60" s="22"/>
      <c r="F60" s="25" t="s">
        <v>17</v>
      </c>
      <c r="G60" s="24" t="s">
        <v>137</v>
      </c>
      <c r="H60" s="22" t="s">
        <v>42</v>
      </c>
      <c r="I60" s="22" t="n">
        <v>2</v>
      </c>
      <c r="J60" s="22" t="n">
        <v>1</v>
      </c>
      <c r="K60" s="22" t="s">
        <v>124</v>
      </c>
      <c r="L60" s="22"/>
      <c r="M60" s="22"/>
      <c r="N60" s="24"/>
    </row>
    <row r="61" customFormat="false" ht="35.05" hidden="false" customHeight="false" outlineLevel="0" collapsed="false">
      <c r="A61" s="22" t="s">
        <v>57</v>
      </c>
      <c r="B61" s="22" t="s">
        <v>278</v>
      </c>
      <c r="C61" s="22" t="s">
        <v>279</v>
      </c>
      <c r="D61" s="22" t="s">
        <v>280</v>
      </c>
      <c r="E61" s="22"/>
      <c r="F61" s="25" t="s">
        <v>17</v>
      </c>
      <c r="G61" s="24" t="s">
        <v>137</v>
      </c>
      <c r="H61" s="22" t="s">
        <v>42</v>
      </c>
      <c r="I61" s="22" t="n">
        <v>2</v>
      </c>
      <c r="J61" s="22" t="n">
        <v>1</v>
      </c>
      <c r="K61" s="22" t="s">
        <v>124</v>
      </c>
      <c r="L61" s="22"/>
      <c r="M61" s="22"/>
      <c r="N61" s="24"/>
    </row>
    <row r="62" customFormat="false" ht="35.05" hidden="false" customHeight="false" outlineLevel="0" collapsed="false">
      <c r="A62" s="22" t="s">
        <v>57</v>
      </c>
      <c r="B62" s="22" t="s">
        <v>281</v>
      </c>
      <c r="C62" s="22" t="s">
        <v>282</v>
      </c>
      <c r="D62" s="22" t="s">
        <v>283</v>
      </c>
      <c r="E62" s="22"/>
      <c r="F62" s="25" t="s">
        <v>17</v>
      </c>
      <c r="G62" s="24" t="s">
        <v>137</v>
      </c>
      <c r="H62" s="22" t="s">
        <v>42</v>
      </c>
      <c r="I62" s="22" t="n">
        <v>2</v>
      </c>
      <c r="J62" s="22" t="n">
        <v>1</v>
      </c>
      <c r="K62" s="22" t="s">
        <v>124</v>
      </c>
      <c r="L62" s="22"/>
      <c r="M62" s="22"/>
      <c r="N62" s="24"/>
    </row>
    <row r="63" customFormat="false" ht="35.05" hidden="false" customHeight="false" outlineLevel="0" collapsed="false">
      <c r="A63" s="22" t="s">
        <v>57</v>
      </c>
      <c r="B63" s="22" t="s">
        <v>284</v>
      </c>
      <c r="C63" s="22" t="s">
        <v>285</v>
      </c>
      <c r="D63" s="22" t="s">
        <v>286</v>
      </c>
      <c r="E63" s="22"/>
      <c r="F63" s="25" t="s">
        <v>17</v>
      </c>
      <c r="G63" s="24" t="s">
        <v>133</v>
      </c>
      <c r="H63" s="22" t="s">
        <v>42</v>
      </c>
      <c r="I63" s="22" t="n">
        <v>2</v>
      </c>
      <c r="J63" s="22" t="n">
        <v>1</v>
      </c>
      <c r="K63" s="22" t="s">
        <v>124</v>
      </c>
      <c r="L63" s="22"/>
      <c r="M63" s="22"/>
      <c r="N63" s="24"/>
    </row>
    <row r="64" customFormat="false" ht="35.05" hidden="false" customHeight="false" outlineLevel="0" collapsed="false">
      <c r="A64" s="22" t="s">
        <v>57</v>
      </c>
      <c r="B64" s="22" t="s">
        <v>287</v>
      </c>
      <c r="C64" s="22" t="s">
        <v>288</v>
      </c>
      <c r="D64" s="22" t="s">
        <v>289</v>
      </c>
      <c r="E64" s="22"/>
      <c r="F64" s="25" t="s">
        <v>17</v>
      </c>
      <c r="G64" s="24" t="s">
        <v>133</v>
      </c>
      <c r="H64" s="22" t="s">
        <v>42</v>
      </c>
      <c r="I64" s="22" t="n">
        <v>2</v>
      </c>
      <c r="J64" s="22" t="n">
        <v>1</v>
      </c>
      <c r="K64" s="22" t="s">
        <v>124</v>
      </c>
      <c r="L64" s="22"/>
      <c r="M64" s="22"/>
      <c r="N64" s="24"/>
    </row>
    <row r="65" customFormat="false" ht="35.05" hidden="false" customHeight="false" outlineLevel="0" collapsed="false">
      <c r="A65" s="22" t="s">
        <v>57</v>
      </c>
      <c r="B65" s="22" t="s">
        <v>290</v>
      </c>
      <c r="C65" s="22" t="s">
        <v>291</v>
      </c>
      <c r="D65" s="22" t="s">
        <v>292</v>
      </c>
      <c r="E65" s="22"/>
      <c r="F65" s="25" t="s">
        <v>17</v>
      </c>
      <c r="G65" s="24" t="s">
        <v>133</v>
      </c>
      <c r="H65" s="22" t="s">
        <v>42</v>
      </c>
      <c r="I65" s="22" t="n">
        <v>2</v>
      </c>
      <c r="J65" s="22" t="n">
        <v>1</v>
      </c>
      <c r="K65" s="22" t="s">
        <v>124</v>
      </c>
      <c r="L65" s="22"/>
      <c r="M65" s="22"/>
      <c r="N65" s="24"/>
    </row>
    <row r="66" customFormat="false" ht="35.05" hidden="false" customHeight="false" outlineLevel="0" collapsed="false">
      <c r="A66" s="22" t="s">
        <v>57</v>
      </c>
      <c r="B66" s="22" t="s">
        <v>293</v>
      </c>
      <c r="C66" s="22" t="s">
        <v>294</v>
      </c>
      <c r="D66" s="22" t="s">
        <v>295</v>
      </c>
      <c r="E66" s="22"/>
      <c r="F66" s="25" t="s">
        <v>17</v>
      </c>
      <c r="G66" s="24" t="s">
        <v>133</v>
      </c>
      <c r="H66" s="22" t="s">
        <v>42</v>
      </c>
      <c r="I66" s="22" t="n">
        <v>2</v>
      </c>
      <c r="J66" s="22" t="n">
        <v>1</v>
      </c>
      <c r="K66" s="22" t="s">
        <v>124</v>
      </c>
      <c r="L66" s="22"/>
      <c r="M66" s="22"/>
      <c r="N66" s="24"/>
    </row>
    <row r="67" customFormat="false" ht="35.05" hidden="false" customHeight="false" outlineLevel="0" collapsed="false">
      <c r="A67" s="22" t="s">
        <v>57</v>
      </c>
      <c r="B67" s="22" t="s">
        <v>296</v>
      </c>
      <c r="C67" s="22" t="s">
        <v>297</v>
      </c>
      <c r="D67" s="22" t="s">
        <v>298</v>
      </c>
      <c r="E67" s="22"/>
      <c r="F67" s="25" t="s">
        <v>17</v>
      </c>
      <c r="G67" s="24" t="s">
        <v>133</v>
      </c>
      <c r="H67" s="22" t="s">
        <v>42</v>
      </c>
      <c r="I67" s="22" t="n">
        <v>2</v>
      </c>
      <c r="J67" s="22" t="n">
        <v>1</v>
      </c>
      <c r="K67" s="22" t="s">
        <v>124</v>
      </c>
      <c r="L67" s="22"/>
      <c r="M67" s="22"/>
      <c r="N67" s="24"/>
    </row>
    <row r="68" customFormat="false" ht="35.05" hidden="false" customHeight="false" outlineLevel="0" collapsed="false">
      <c r="A68" s="22" t="s">
        <v>57</v>
      </c>
      <c r="B68" s="22" t="s">
        <v>299</v>
      </c>
      <c r="C68" s="22" t="s">
        <v>300</v>
      </c>
      <c r="D68" s="22" t="s">
        <v>301</v>
      </c>
      <c r="E68" s="22"/>
      <c r="F68" s="25" t="s">
        <v>17</v>
      </c>
      <c r="G68" s="24" t="s">
        <v>133</v>
      </c>
      <c r="H68" s="22" t="s">
        <v>42</v>
      </c>
      <c r="I68" s="22" t="n">
        <v>2</v>
      </c>
      <c r="J68" s="22" t="n">
        <v>1</v>
      </c>
      <c r="K68" s="22" t="s">
        <v>124</v>
      </c>
      <c r="L68" s="22"/>
      <c r="M68" s="22"/>
      <c r="N68" s="24"/>
    </row>
    <row r="69" customFormat="false" ht="15" hidden="false" customHeight="false" outlineLevel="0" collapsed="false">
      <c r="A69" s="22" t="s">
        <v>57</v>
      </c>
      <c r="B69" s="22" t="s">
        <v>302</v>
      </c>
      <c r="C69" s="22" t="s">
        <v>303</v>
      </c>
      <c r="D69" s="22" t="s">
        <v>231</v>
      </c>
      <c r="E69" s="22"/>
      <c r="F69" s="23" t="s">
        <v>15</v>
      </c>
      <c r="G69" s="24" t="s">
        <v>123</v>
      </c>
      <c r="H69" s="22" t="s">
        <v>41</v>
      </c>
      <c r="I69" s="22" t="n">
        <v>2</v>
      </c>
      <c r="J69" s="22" t="n">
        <v>2</v>
      </c>
      <c r="K69" s="22" t="s">
        <v>124</v>
      </c>
      <c r="L69" s="22"/>
      <c r="M69" s="22"/>
      <c r="N69" s="24"/>
    </row>
    <row r="70" customFormat="false" ht="35.05" hidden="false" customHeight="false" outlineLevel="0" collapsed="false">
      <c r="A70" s="22" t="s">
        <v>57</v>
      </c>
      <c r="B70" s="22" t="s">
        <v>304</v>
      </c>
      <c r="C70" s="22" t="s">
        <v>305</v>
      </c>
      <c r="D70" s="22" t="s">
        <v>306</v>
      </c>
      <c r="E70" s="22"/>
      <c r="F70" s="25" t="s">
        <v>17</v>
      </c>
      <c r="G70" s="24" t="s">
        <v>137</v>
      </c>
      <c r="H70" s="22" t="s">
        <v>42</v>
      </c>
      <c r="I70" s="22" t="n">
        <v>2</v>
      </c>
      <c r="J70" s="22" t="n">
        <v>1</v>
      </c>
      <c r="K70" s="22" t="s">
        <v>124</v>
      </c>
      <c r="L70" s="22"/>
      <c r="M70" s="22"/>
      <c r="N70" s="24"/>
    </row>
    <row r="71" customFormat="false" ht="35.05" hidden="false" customHeight="false" outlineLevel="0" collapsed="false">
      <c r="A71" s="22" t="s">
        <v>57</v>
      </c>
      <c r="B71" s="22" t="s">
        <v>307</v>
      </c>
      <c r="C71" s="22" t="s">
        <v>308</v>
      </c>
      <c r="D71" s="22" t="s">
        <v>309</v>
      </c>
      <c r="E71" s="22"/>
      <c r="F71" s="25" t="s">
        <v>17</v>
      </c>
      <c r="G71" s="24" t="s">
        <v>137</v>
      </c>
      <c r="H71" s="22" t="s">
        <v>42</v>
      </c>
      <c r="I71" s="22" t="n">
        <v>2</v>
      </c>
      <c r="J71" s="22" t="n">
        <v>1</v>
      </c>
      <c r="K71" s="22" t="s">
        <v>124</v>
      </c>
      <c r="L71" s="22"/>
      <c r="M71" s="22"/>
      <c r="N71" s="24"/>
    </row>
    <row r="72" customFormat="false" ht="35.05" hidden="false" customHeight="false" outlineLevel="0" collapsed="false">
      <c r="A72" s="22" t="s">
        <v>57</v>
      </c>
      <c r="B72" s="22" t="s">
        <v>310</v>
      </c>
      <c r="C72" s="22" t="s">
        <v>311</v>
      </c>
      <c r="D72" s="22" t="s">
        <v>312</v>
      </c>
      <c r="E72" s="22"/>
      <c r="F72" s="25" t="s">
        <v>17</v>
      </c>
      <c r="G72" s="24" t="s">
        <v>133</v>
      </c>
      <c r="H72" s="22" t="s">
        <v>42</v>
      </c>
      <c r="I72" s="22" t="n">
        <v>2</v>
      </c>
      <c r="J72" s="22" t="n">
        <v>1</v>
      </c>
      <c r="K72" s="22" t="s">
        <v>124</v>
      </c>
      <c r="L72" s="22"/>
      <c r="M72" s="22"/>
      <c r="N72" s="24"/>
    </row>
    <row r="73" customFormat="false" ht="35.05" hidden="false" customHeight="false" outlineLevel="0" collapsed="false">
      <c r="A73" s="22" t="s">
        <v>57</v>
      </c>
      <c r="B73" s="22" t="s">
        <v>313</v>
      </c>
      <c r="C73" s="22" t="s">
        <v>314</v>
      </c>
      <c r="D73" s="22" t="s">
        <v>315</v>
      </c>
      <c r="E73" s="22"/>
      <c r="F73" s="25" t="s">
        <v>17</v>
      </c>
      <c r="G73" s="24" t="s">
        <v>133</v>
      </c>
      <c r="H73" s="22" t="s">
        <v>42</v>
      </c>
      <c r="I73" s="22" t="n">
        <v>2</v>
      </c>
      <c r="J73" s="22" t="n">
        <v>2</v>
      </c>
      <c r="K73" s="22" t="s">
        <v>124</v>
      </c>
      <c r="L73" s="22"/>
      <c r="M73" s="22"/>
      <c r="N73" s="24"/>
    </row>
    <row r="74" customFormat="false" ht="35.05" hidden="false" customHeight="false" outlineLevel="0" collapsed="false">
      <c r="A74" s="22" t="s">
        <v>57</v>
      </c>
      <c r="B74" s="22" t="s">
        <v>316</v>
      </c>
      <c r="C74" s="22" t="s">
        <v>317</v>
      </c>
      <c r="D74" s="22" t="s">
        <v>318</v>
      </c>
      <c r="E74" s="22"/>
      <c r="F74" s="25" t="s">
        <v>17</v>
      </c>
      <c r="G74" s="24" t="s">
        <v>133</v>
      </c>
      <c r="H74" s="22" t="s">
        <v>42</v>
      </c>
      <c r="I74" s="22" t="n">
        <v>2</v>
      </c>
      <c r="J74" s="22" t="n">
        <v>1</v>
      </c>
      <c r="K74" s="22" t="s">
        <v>124</v>
      </c>
      <c r="L74" s="22"/>
      <c r="M74" s="22"/>
      <c r="N74" s="24"/>
    </row>
    <row r="75" customFormat="false" ht="35.05" hidden="false" customHeight="false" outlineLevel="0" collapsed="false">
      <c r="A75" s="22" t="s">
        <v>57</v>
      </c>
      <c r="B75" s="22" t="s">
        <v>319</v>
      </c>
      <c r="C75" s="22" t="s">
        <v>317</v>
      </c>
      <c r="D75" s="22" t="s">
        <v>320</v>
      </c>
      <c r="E75" s="22"/>
      <c r="F75" s="25" t="s">
        <v>17</v>
      </c>
      <c r="G75" s="24" t="s">
        <v>133</v>
      </c>
      <c r="H75" s="22" t="s">
        <v>42</v>
      </c>
      <c r="I75" s="22" t="n">
        <v>2</v>
      </c>
      <c r="J75" s="22" t="n">
        <v>1</v>
      </c>
      <c r="K75" s="22" t="s">
        <v>124</v>
      </c>
      <c r="L75" s="22"/>
      <c r="M75" s="22"/>
      <c r="N75" s="24"/>
    </row>
    <row r="76" customFormat="false" ht="35.05" hidden="false" customHeight="false" outlineLevel="0" collapsed="false">
      <c r="A76" s="22" t="s">
        <v>57</v>
      </c>
      <c r="B76" s="22" t="s">
        <v>321</v>
      </c>
      <c r="C76" s="22" t="s">
        <v>322</v>
      </c>
      <c r="D76" s="22" t="s">
        <v>323</v>
      </c>
      <c r="E76" s="22"/>
      <c r="F76" s="25" t="s">
        <v>17</v>
      </c>
      <c r="G76" s="24" t="s">
        <v>133</v>
      </c>
      <c r="H76" s="22" t="s">
        <v>42</v>
      </c>
      <c r="I76" s="22" t="n">
        <v>2</v>
      </c>
      <c r="J76" s="22" t="n">
        <v>1</v>
      </c>
      <c r="K76" s="22" t="s">
        <v>124</v>
      </c>
      <c r="L76" s="22"/>
      <c r="M76" s="22"/>
      <c r="N76" s="24"/>
    </row>
    <row r="77" customFormat="false" ht="35.05" hidden="false" customHeight="false" outlineLevel="0" collapsed="false">
      <c r="A77" s="22" t="s">
        <v>57</v>
      </c>
      <c r="B77" s="22" t="s">
        <v>324</v>
      </c>
      <c r="C77" s="22" t="s">
        <v>325</v>
      </c>
      <c r="D77" s="22" t="s">
        <v>326</v>
      </c>
      <c r="E77" s="22"/>
      <c r="F77" s="25" t="s">
        <v>17</v>
      </c>
      <c r="G77" s="24" t="s">
        <v>133</v>
      </c>
      <c r="H77" s="22" t="s">
        <v>42</v>
      </c>
      <c r="I77" s="22" t="n">
        <v>2</v>
      </c>
      <c r="J77" s="22" t="n">
        <v>1</v>
      </c>
      <c r="K77" s="22" t="s">
        <v>124</v>
      </c>
      <c r="L77" s="22"/>
      <c r="M77" s="22"/>
      <c r="N77" s="24"/>
    </row>
    <row r="78" customFormat="false" ht="35.05" hidden="false" customHeight="false" outlineLevel="0" collapsed="false">
      <c r="A78" s="22" t="s">
        <v>57</v>
      </c>
      <c r="B78" s="22" t="s">
        <v>327</v>
      </c>
      <c r="C78" s="22" t="s">
        <v>328</v>
      </c>
      <c r="D78" s="22" t="s">
        <v>329</v>
      </c>
      <c r="E78" s="22"/>
      <c r="F78" s="25" t="s">
        <v>17</v>
      </c>
      <c r="G78" s="24" t="s">
        <v>137</v>
      </c>
      <c r="H78" s="22" t="s">
        <v>42</v>
      </c>
      <c r="I78" s="22" t="n">
        <v>2</v>
      </c>
      <c r="J78" s="22" t="n">
        <v>1</v>
      </c>
      <c r="K78" s="22" t="s">
        <v>124</v>
      </c>
      <c r="L78" s="22"/>
      <c r="M78" s="22"/>
      <c r="N78" s="24"/>
    </row>
    <row r="79" customFormat="false" ht="35.05" hidden="false" customHeight="false" outlineLevel="0" collapsed="false">
      <c r="A79" s="22" t="s">
        <v>57</v>
      </c>
      <c r="B79" s="22" t="s">
        <v>330</v>
      </c>
      <c r="C79" s="22" t="s">
        <v>331</v>
      </c>
      <c r="D79" s="22" t="s">
        <v>332</v>
      </c>
      <c r="E79" s="22"/>
      <c r="F79" s="25" t="s">
        <v>17</v>
      </c>
      <c r="G79" s="24" t="s">
        <v>133</v>
      </c>
      <c r="H79" s="22" t="s">
        <v>42</v>
      </c>
      <c r="I79" s="22" t="n">
        <v>2</v>
      </c>
      <c r="J79" s="22" t="n">
        <v>1</v>
      </c>
      <c r="K79" s="22" t="s">
        <v>124</v>
      </c>
      <c r="L79" s="22"/>
      <c r="M79" s="22"/>
      <c r="N79" s="24"/>
    </row>
    <row r="80" customFormat="false" ht="35.05" hidden="false" customHeight="false" outlineLevel="0" collapsed="false">
      <c r="A80" s="22" t="s">
        <v>57</v>
      </c>
      <c r="B80" s="22" t="s">
        <v>333</v>
      </c>
      <c r="C80" s="22" t="s">
        <v>334</v>
      </c>
      <c r="D80" s="22" t="s">
        <v>335</v>
      </c>
      <c r="E80" s="22"/>
      <c r="F80" s="25" t="s">
        <v>17</v>
      </c>
      <c r="G80" s="24" t="s">
        <v>133</v>
      </c>
      <c r="H80" s="22" t="s">
        <v>42</v>
      </c>
      <c r="I80" s="22" t="n">
        <v>2</v>
      </c>
      <c r="J80" s="22" t="n">
        <v>3</v>
      </c>
      <c r="K80" s="22" t="s">
        <v>124</v>
      </c>
      <c r="L80" s="22"/>
      <c r="M80" s="22"/>
      <c r="N80" s="24"/>
    </row>
    <row r="81" customFormat="false" ht="35.05" hidden="false" customHeight="false" outlineLevel="0" collapsed="false">
      <c r="A81" s="22" t="s">
        <v>57</v>
      </c>
      <c r="B81" s="22" t="s">
        <v>336</v>
      </c>
      <c r="C81" s="22" t="s">
        <v>314</v>
      </c>
      <c r="D81" s="22" t="s">
        <v>315</v>
      </c>
      <c r="E81" s="22"/>
      <c r="F81" s="25" t="s">
        <v>17</v>
      </c>
      <c r="G81" s="24" t="s">
        <v>133</v>
      </c>
      <c r="H81" s="22" t="s">
        <v>42</v>
      </c>
      <c r="I81" s="22" t="n">
        <v>2</v>
      </c>
      <c r="J81" s="22" t="n">
        <v>2</v>
      </c>
      <c r="K81" s="22" t="s">
        <v>124</v>
      </c>
      <c r="L81" s="22"/>
      <c r="M81" s="22"/>
      <c r="N81" s="24"/>
    </row>
    <row r="82" customFormat="false" ht="35.05" hidden="false" customHeight="false" outlineLevel="0" collapsed="false">
      <c r="A82" s="22" t="s">
        <v>57</v>
      </c>
      <c r="B82" s="22" t="s">
        <v>337</v>
      </c>
      <c r="C82" s="22" t="s">
        <v>338</v>
      </c>
      <c r="D82" s="22" t="s">
        <v>339</v>
      </c>
      <c r="E82" s="22"/>
      <c r="F82" s="25" t="s">
        <v>17</v>
      </c>
      <c r="G82" s="24" t="s">
        <v>133</v>
      </c>
      <c r="H82" s="22" t="s">
        <v>42</v>
      </c>
      <c r="I82" s="22" t="n">
        <v>2</v>
      </c>
      <c r="J82" s="22" t="n">
        <v>1</v>
      </c>
      <c r="K82" s="22" t="s">
        <v>124</v>
      </c>
      <c r="L82" s="22"/>
      <c r="M82" s="22"/>
      <c r="N82" s="24"/>
    </row>
    <row r="83" customFormat="false" ht="35.05" hidden="false" customHeight="false" outlineLevel="0" collapsed="false">
      <c r="A83" s="22" t="s">
        <v>57</v>
      </c>
      <c r="B83" s="22" t="s">
        <v>340</v>
      </c>
      <c r="C83" s="22" t="s">
        <v>341</v>
      </c>
      <c r="D83" s="22" t="s">
        <v>342</v>
      </c>
      <c r="E83" s="22"/>
      <c r="F83" s="25" t="s">
        <v>17</v>
      </c>
      <c r="G83" s="24" t="s">
        <v>137</v>
      </c>
      <c r="H83" s="22" t="s">
        <v>42</v>
      </c>
      <c r="I83" s="22" t="n">
        <v>2</v>
      </c>
      <c r="J83" s="22" t="n">
        <v>1</v>
      </c>
      <c r="K83" s="22" t="s">
        <v>124</v>
      </c>
      <c r="L83" s="22"/>
      <c r="M83" s="22"/>
      <c r="N83" s="24"/>
    </row>
    <row r="84" customFormat="false" ht="35.05" hidden="false" customHeight="false" outlineLevel="0" collapsed="false">
      <c r="A84" s="22" t="s">
        <v>57</v>
      </c>
      <c r="B84" s="22" t="s">
        <v>343</v>
      </c>
      <c r="C84" s="22" t="s">
        <v>344</v>
      </c>
      <c r="D84" s="22" t="s">
        <v>345</v>
      </c>
      <c r="E84" s="22"/>
      <c r="F84" s="25" t="s">
        <v>17</v>
      </c>
      <c r="G84" s="24" t="s">
        <v>133</v>
      </c>
      <c r="H84" s="22" t="s">
        <v>42</v>
      </c>
      <c r="I84" s="22" t="n">
        <v>2</v>
      </c>
      <c r="J84" s="22" t="n">
        <v>2</v>
      </c>
      <c r="K84" s="22" t="s">
        <v>124</v>
      </c>
      <c r="L84" s="22"/>
      <c r="M84" s="22"/>
      <c r="N84" s="24"/>
    </row>
    <row r="85" customFormat="false" ht="35.05" hidden="false" customHeight="false" outlineLevel="0" collapsed="false">
      <c r="A85" s="22" t="s">
        <v>57</v>
      </c>
      <c r="B85" s="22" t="s">
        <v>346</v>
      </c>
      <c r="C85" s="22" t="s">
        <v>347</v>
      </c>
      <c r="D85" s="22" t="s">
        <v>348</v>
      </c>
      <c r="E85" s="22"/>
      <c r="F85" s="25" t="s">
        <v>17</v>
      </c>
      <c r="G85" s="24" t="s">
        <v>133</v>
      </c>
      <c r="H85" s="22" t="s">
        <v>42</v>
      </c>
      <c r="I85" s="22" t="n">
        <v>2</v>
      </c>
      <c r="J85" s="22" t="n">
        <v>1</v>
      </c>
      <c r="K85" s="22" t="s">
        <v>124</v>
      </c>
      <c r="L85" s="22"/>
      <c r="M85" s="22"/>
      <c r="N85" s="24"/>
    </row>
    <row r="86" customFormat="false" ht="15" hidden="false" customHeight="false" outlineLevel="0" collapsed="false">
      <c r="A86" s="22" t="s">
        <v>57</v>
      </c>
      <c r="B86" s="22" t="s">
        <v>349</v>
      </c>
      <c r="C86" s="22" t="s">
        <v>350</v>
      </c>
      <c r="D86" s="22" t="s">
        <v>225</v>
      </c>
      <c r="E86" s="22"/>
      <c r="F86" s="23" t="s">
        <v>15</v>
      </c>
      <c r="G86" s="24" t="s">
        <v>123</v>
      </c>
      <c r="H86" s="22" t="s">
        <v>41</v>
      </c>
      <c r="I86" s="22" t="n">
        <v>2</v>
      </c>
      <c r="J86" s="22" t="n">
        <v>2</v>
      </c>
      <c r="K86" s="22" t="s">
        <v>124</v>
      </c>
      <c r="L86" s="22"/>
      <c r="M86" s="22"/>
      <c r="N86" s="24"/>
    </row>
    <row r="87" customFormat="false" ht="35.05" hidden="false" customHeight="false" outlineLevel="0" collapsed="false">
      <c r="A87" s="22" t="s">
        <v>57</v>
      </c>
      <c r="B87" s="22" t="s">
        <v>351</v>
      </c>
      <c r="C87" s="22" t="s">
        <v>352</v>
      </c>
      <c r="D87" s="22" t="s">
        <v>353</v>
      </c>
      <c r="E87" s="22"/>
      <c r="F87" s="25" t="s">
        <v>17</v>
      </c>
      <c r="G87" s="24" t="s">
        <v>133</v>
      </c>
      <c r="H87" s="22" t="s">
        <v>42</v>
      </c>
      <c r="I87" s="22" t="n">
        <v>2</v>
      </c>
      <c r="J87" s="22" t="n">
        <v>3</v>
      </c>
      <c r="K87" s="22" t="s">
        <v>124</v>
      </c>
      <c r="L87" s="22"/>
      <c r="M87" s="22"/>
      <c r="N87" s="24"/>
    </row>
    <row r="88" customFormat="false" ht="35.05" hidden="false" customHeight="false" outlineLevel="0" collapsed="false">
      <c r="A88" s="22" t="s">
        <v>57</v>
      </c>
      <c r="B88" s="22" t="s">
        <v>354</v>
      </c>
      <c r="C88" s="22" t="s">
        <v>355</v>
      </c>
      <c r="D88" s="22" t="s">
        <v>356</v>
      </c>
      <c r="E88" s="22"/>
      <c r="F88" s="25" t="s">
        <v>17</v>
      </c>
      <c r="G88" s="24" t="s">
        <v>137</v>
      </c>
      <c r="H88" s="22" t="s">
        <v>42</v>
      </c>
      <c r="I88" s="22" t="n">
        <v>2</v>
      </c>
      <c r="J88" s="22" t="n">
        <v>1</v>
      </c>
      <c r="K88" s="22" t="s">
        <v>124</v>
      </c>
      <c r="L88" s="22"/>
      <c r="M88" s="22"/>
      <c r="N88" s="24"/>
    </row>
    <row r="89" customFormat="false" ht="35.05" hidden="false" customHeight="false" outlineLevel="0" collapsed="false">
      <c r="A89" s="22" t="s">
        <v>57</v>
      </c>
      <c r="B89" s="22" t="s">
        <v>357</v>
      </c>
      <c r="C89" s="22" t="s">
        <v>352</v>
      </c>
      <c r="D89" s="22" t="s">
        <v>358</v>
      </c>
      <c r="E89" s="22"/>
      <c r="F89" s="25" t="s">
        <v>17</v>
      </c>
      <c r="G89" s="24" t="s">
        <v>133</v>
      </c>
      <c r="H89" s="22" t="s">
        <v>42</v>
      </c>
      <c r="I89" s="22" t="n">
        <v>2</v>
      </c>
      <c r="J89" s="22" t="n">
        <v>3</v>
      </c>
      <c r="K89" s="22" t="s">
        <v>124</v>
      </c>
      <c r="L89" s="22"/>
      <c r="M89" s="22"/>
      <c r="N89" s="24"/>
    </row>
    <row r="90" customFormat="false" ht="35.05" hidden="false" customHeight="false" outlineLevel="0" collapsed="false">
      <c r="A90" s="22" t="s">
        <v>57</v>
      </c>
      <c r="B90" s="22" t="s">
        <v>359</v>
      </c>
      <c r="C90" s="22" t="s">
        <v>360</v>
      </c>
      <c r="D90" s="22" t="s">
        <v>361</v>
      </c>
      <c r="E90" s="22"/>
      <c r="F90" s="25" t="s">
        <v>17</v>
      </c>
      <c r="G90" s="24" t="s">
        <v>133</v>
      </c>
      <c r="H90" s="22" t="s">
        <v>42</v>
      </c>
      <c r="I90" s="22" t="n">
        <v>2</v>
      </c>
      <c r="J90" s="22" t="n">
        <v>1</v>
      </c>
      <c r="K90" s="22" t="s">
        <v>124</v>
      </c>
      <c r="L90" s="22"/>
      <c r="M90" s="22"/>
      <c r="N90" s="24"/>
    </row>
    <row r="91" customFormat="false" ht="15" hidden="false" customHeight="false" outlineLevel="0" collapsed="false">
      <c r="A91" s="22" t="s">
        <v>57</v>
      </c>
      <c r="B91" s="22" t="s">
        <v>362</v>
      </c>
      <c r="C91" s="22" t="s">
        <v>363</v>
      </c>
      <c r="D91" s="22" t="s">
        <v>364</v>
      </c>
      <c r="E91" s="22"/>
      <c r="F91" s="23" t="s">
        <v>15</v>
      </c>
      <c r="G91" s="24" t="s">
        <v>123</v>
      </c>
      <c r="H91" s="22" t="s">
        <v>41</v>
      </c>
      <c r="I91" s="22" t="n">
        <v>2</v>
      </c>
      <c r="J91" s="22" t="n">
        <v>1</v>
      </c>
      <c r="K91" s="22" t="s">
        <v>124</v>
      </c>
      <c r="L91" s="22"/>
      <c r="M91" s="22"/>
      <c r="N91" s="24"/>
    </row>
    <row r="92" customFormat="false" ht="35.05" hidden="false" customHeight="false" outlineLevel="0" collapsed="false">
      <c r="A92" s="22" t="s">
        <v>57</v>
      </c>
      <c r="B92" s="22" t="s">
        <v>365</v>
      </c>
      <c r="C92" s="22" t="s">
        <v>366</v>
      </c>
      <c r="D92" s="22" t="s">
        <v>367</v>
      </c>
      <c r="E92" s="22"/>
      <c r="F92" s="25" t="s">
        <v>17</v>
      </c>
      <c r="G92" s="24" t="s">
        <v>133</v>
      </c>
      <c r="H92" s="22" t="s">
        <v>42</v>
      </c>
      <c r="I92" s="22" t="n">
        <v>2</v>
      </c>
      <c r="J92" s="22" t="n">
        <v>1</v>
      </c>
      <c r="K92" s="22" t="s">
        <v>124</v>
      </c>
      <c r="L92" s="22"/>
      <c r="M92" s="22"/>
      <c r="N92" s="24"/>
    </row>
    <row r="93" customFormat="false" ht="15" hidden="false" customHeight="false" outlineLevel="0" collapsed="false">
      <c r="A93" s="22" t="s">
        <v>59</v>
      </c>
      <c r="B93" s="22" t="s">
        <v>368</v>
      </c>
      <c r="C93" s="22" t="s">
        <v>369</v>
      </c>
      <c r="D93" s="22" t="s">
        <v>370</v>
      </c>
      <c r="E93" s="22"/>
      <c r="F93" s="23" t="s">
        <v>15</v>
      </c>
      <c r="G93" s="24" t="s">
        <v>123</v>
      </c>
      <c r="H93" s="22" t="s">
        <v>41</v>
      </c>
      <c r="I93" s="22" t="n">
        <v>3</v>
      </c>
      <c r="J93" s="22" t="n">
        <v>16</v>
      </c>
      <c r="K93" s="22" t="s">
        <v>124</v>
      </c>
      <c r="L93" s="22"/>
      <c r="M93" s="22"/>
      <c r="N93" s="24"/>
    </row>
    <row r="94" customFormat="false" ht="15" hidden="false" customHeight="false" outlineLevel="0" collapsed="false">
      <c r="A94" s="22" t="s">
        <v>59</v>
      </c>
      <c r="B94" s="22" t="s">
        <v>371</v>
      </c>
      <c r="C94" s="22" t="s">
        <v>372</v>
      </c>
      <c r="D94" s="22" t="s">
        <v>373</v>
      </c>
      <c r="E94" s="22"/>
      <c r="F94" s="23" t="s">
        <v>15</v>
      </c>
      <c r="G94" s="24" t="s">
        <v>123</v>
      </c>
      <c r="H94" s="22" t="s">
        <v>41</v>
      </c>
      <c r="I94" s="22" t="n">
        <v>3</v>
      </c>
      <c r="J94" s="22" t="n">
        <v>2</v>
      </c>
      <c r="K94" s="22" t="s">
        <v>124</v>
      </c>
      <c r="L94" s="22"/>
      <c r="M94" s="22"/>
      <c r="N94" s="24"/>
    </row>
    <row r="95" customFormat="false" ht="15" hidden="false" customHeight="false" outlineLevel="0" collapsed="false">
      <c r="A95" s="22" t="s">
        <v>59</v>
      </c>
      <c r="B95" s="22" t="s">
        <v>374</v>
      </c>
      <c r="C95" s="22" t="s">
        <v>375</v>
      </c>
      <c r="D95" s="22" t="s">
        <v>370</v>
      </c>
      <c r="E95" s="22"/>
      <c r="F95" s="23" t="s">
        <v>15</v>
      </c>
      <c r="G95" s="24" t="s">
        <v>123</v>
      </c>
      <c r="H95" s="22" t="s">
        <v>41</v>
      </c>
      <c r="I95" s="22" t="n">
        <v>3</v>
      </c>
      <c r="J95" s="22" t="n">
        <v>16</v>
      </c>
      <c r="K95" s="22" t="s">
        <v>124</v>
      </c>
      <c r="L95" s="22"/>
      <c r="M95" s="22"/>
      <c r="N95" s="24"/>
    </row>
    <row r="96" customFormat="false" ht="15" hidden="false" customHeight="false" outlineLevel="0" collapsed="false">
      <c r="A96" s="22" t="s">
        <v>59</v>
      </c>
      <c r="B96" s="22" t="s">
        <v>376</v>
      </c>
      <c r="C96" s="22" t="s">
        <v>377</v>
      </c>
      <c r="D96" s="22" t="s">
        <v>370</v>
      </c>
      <c r="E96" s="22"/>
      <c r="F96" s="23" t="s">
        <v>15</v>
      </c>
      <c r="G96" s="24" t="s">
        <v>123</v>
      </c>
      <c r="H96" s="22" t="s">
        <v>41</v>
      </c>
      <c r="I96" s="22" t="n">
        <v>3</v>
      </c>
      <c r="J96" s="22" t="n">
        <v>16</v>
      </c>
      <c r="K96" s="22" t="s">
        <v>124</v>
      </c>
      <c r="L96" s="22"/>
      <c r="M96" s="22"/>
      <c r="N96" s="24"/>
    </row>
    <row r="97" customFormat="false" ht="15" hidden="false" customHeight="false" outlineLevel="0" collapsed="false">
      <c r="A97" s="22" t="s">
        <v>59</v>
      </c>
      <c r="B97" s="22" t="s">
        <v>378</v>
      </c>
      <c r="C97" s="22" t="s">
        <v>379</v>
      </c>
      <c r="D97" s="22" t="s">
        <v>370</v>
      </c>
      <c r="E97" s="22"/>
      <c r="F97" s="23" t="s">
        <v>15</v>
      </c>
      <c r="G97" s="24" t="s">
        <v>123</v>
      </c>
      <c r="H97" s="22" t="s">
        <v>41</v>
      </c>
      <c r="I97" s="22" t="n">
        <v>3</v>
      </c>
      <c r="J97" s="22" t="n">
        <v>16</v>
      </c>
      <c r="K97" s="22" t="s">
        <v>124</v>
      </c>
      <c r="L97" s="22"/>
      <c r="M97" s="22"/>
      <c r="N97" s="24"/>
    </row>
    <row r="98" customFormat="false" ht="15" hidden="false" customHeight="false" outlineLevel="0" collapsed="false">
      <c r="A98" s="22" t="s">
        <v>59</v>
      </c>
      <c r="B98" s="22" t="s">
        <v>380</v>
      </c>
      <c r="C98" s="22" t="s">
        <v>381</v>
      </c>
      <c r="D98" s="22" t="s">
        <v>370</v>
      </c>
      <c r="E98" s="22"/>
      <c r="F98" s="23" t="s">
        <v>15</v>
      </c>
      <c r="G98" s="24" t="s">
        <v>123</v>
      </c>
      <c r="H98" s="22" t="s">
        <v>41</v>
      </c>
      <c r="I98" s="22" t="n">
        <v>3</v>
      </c>
      <c r="J98" s="22" t="n">
        <v>16</v>
      </c>
      <c r="K98" s="22" t="s">
        <v>124</v>
      </c>
      <c r="L98" s="22"/>
      <c r="M98" s="22"/>
      <c r="N98" s="24"/>
    </row>
    <row r="99" customFormat="false" ht="15" hidden="false" customHeight="false" outlineLevel="0" collapsed="false">
      <c r="A99" s="22" t="s">
        <v>59</v>
      </c>
      <c r="B99" s="22" t="s">
        <v>382</v>
      </c>
      <c r="C99" s="22" t="s">
        <v>383</v>
      </c>
      <c r="D99" s="22" t="s">
        <v>370</v>
      </c>
      <c r="E99" s="22"/>
      <c r="F99" s="23" t="s">
        <v>15</v>
      </c>
      <c r="G99" s="24" t="s">
        <v>123</v>
      </c>
      <c r="H99" s="22" t="s">
        <v>41</v>
      </c>
      <c r="I99" s="22" t="n">
        <v>3</v>
      </c>
      <c r="J99" s="22" t="n">
        <v>16</v>
      </c>
      <c r="K99" s="22" t="s">
        <v>124</v>
      </c>
      <c r="L99" s="22"/>
      <c r="M99" s="22"/>
      <c r="N99" s="24"/>
    </row>
    <row r="100" customFormat="false" ht="15" hidden="false" customHeight="false" outlineLevel="0" collapsed="false">
      <c r="A100" s="22" t="s">
        <v>59</v>
      </c>
      <c r="B100" s="22" t="s">
        <v>384</v>
      </c>
      <c r="C100" s="22" t="s">
        <v>385</v>
      </c>
      <c r="D100" s="22" t="s">
        <v>370</v>
      </c>
      <c r="E100" s="22"/>
      <c r="F100" s="23" t="s">
        <v>15</v>
      </c>
      <c r="G100" s="24" t="s">
        <v>123</v>
      </c>
      <c r="H100" s="22" t="s">
        <v>41</v>
      </c>
      <c r="I100" s="22" t="n">
        <v>3</v>
      </c>
      <c r="J100" s="22" t="n">
        <v>16</v>
      </c>
      <c r="K100" s="22" t="s">
        <v>124</v>
      </c>
      <c r="L100" s="22"/>
      <c r="M100" s="22"/>
      <c r="N100" s="24"/>
    </row>
    <row r="101" customFormat="false" ht="15" hidden="false" customHeight="false" outlineLevel="0" collapsed="false">
      <c r="A101" s="22" t="s">
        <v>59</v>
      </c>
      <c r="B101" s="22" t="s">
        <v>386</v>
      </c>
      <c r="C101" s="22" t="s">
        <v>387</v>
      </c>
      <c r="D101" s="22" t="s">
        <v>370</v>
      </c>
      <c r="E101" s="22"/>
      <c r="F101" s="23" t="s">
        <v>15</v>
      </c>
      <c r="G101" s="24" t="s">
        <v>123</v>
      </c>
      <c r="H101" s="22" t="s">
        <v>41</v>
      </c>
      <c r="I101" s="22" t="n">
        <v>3</v>
      </c>
      <c r="J101" s="22" t="n">
        <v>16</v>
      </c>
      <c r="K101" s="22" t="s">
        <v>124</v>
      </c>
      <c r="L101" s="22"/>
      <c r="M101" s="22"/>
      <c r="N101" s="24"/>
    </row>
    <row r="102" customFormat="false" ht="15" hidden="false" customHeight="false" outlineLevel="0" collapsed="false">
      <c r="A102" s="22" t="s">
        <v>59</v>
      </c>
      <c r="B102" s="22" t="s">
        <v>388</v>
      </c>
      <c r="C102" s="22" t="s">
        <v>389</v>
      </c>
      <c r="D102" s="22" t="s">
        <v>370</v>
      </c>
      <c r="E102" s="22"/>
      <c r="F102" s="23" t="s">
        <v>15</v>
      </c>
      <c r="G102" s="24" t="s">
        <v>123</v>
      </c>
      <c r="H102" s="22" t="s">
        <v>41</v>
      </c>
      <c r="I102" s="22" t="n">
        <v>3</v>
      </c>
      <c r="J102" s="22" t="n">
        <v>16</v>
      </c>
      <c r="K102" s="22" t="s">
        <v>124</v>
      </c>
      <c r="L102" s="22"/>
      <c r="M102" s="22"/>
      <c r="N102" s="24"/>
    </row>
    <row r="103" customFormat="false" ht="15" hidden="false" customHeight="false" outlineLevel="0" collapsed="false">
      <c r="A103" s="22" t="s">
        <v>59</v>
      </c>
      <c r="B103" s="22" t="s">
        <v>390</v>
      </c>
      <c r="C103" s="22" t="s">
        <v>391</v>
      </c>
      <c r="D103" s="22" t="s">
        <v>370</v>
      </c>
      <c r="E103" s="22"/>
      <c r="F103" s="23" t="s">
        <v>15</v>
      </c>
      <c r="G103" s="24" t="s">
        <v>123</v>
      </c>
      <c r="H103" s="22" t="s">
        <v>41</v>
      </c>
      <c r="I103" s="22" t="n">
        <v>3</v>
      </c>
      <c r="J103" s="22" t="n">
        <v>16</v>
      </c>
      <c r="K103" s="22" t="s">
        <v>124</v>
      </c>
      <c r="L103" s="22"/>
      <c r="M103" s="22"/>
      <c r="N103" s="24"/>
    </row>
    <row r="104" customFormat="false" ht="15" hidden="false" customHeight="false" outlineLevel="0" collapsed="false">
      <c r="A104" s="22" t="s">
        <v>59</v>
      </c>
      <c r="B104" s="22" t="s">
        <v>392</v>
      </c>
      <c r="C104" s="22" t="s">
        <v>381</v>
      </c>
      <c r="D104" s="22" t="s">
        <v>370</v>
      </c>
      <c r="E104" s="22"/>
      <c r="F104" s="23" t="s">
        <v>15</v>
      </c>
      <c r="G104" s="24" t="s">
        <v>123</v>
      </c>
      <c r="H104" s="22" t="s">
        <v>41</v>
      </c>
      <c r="I104" s="22" t="n">
        <v>3</v>
      </c>
      <c r="J104" s="22" t="n">
        <v>16</v>
      </c>
      <c r="K104" s="22" t="s">
        <v>124</v>
      </c>
      <c r="L104" s="22"/>
      <c r="M104" s="22"/>
      <c r="N104" s="24"/>
    </row>
    <row r="105" customFormat="false" ht="15" hidden="false" customHeight="false" outlineLevel="0" collapsed="false">
      <c r="A105" s="22" t="s">
        <v>59</v>
      </c>
      <c r="B105" s="22" t="s">
        <v>393</v>
      </c>
      <c r="C105" s="22" t="s">
        <v>394</v>
      </c>
      <c r="D105" s="22" t="s">
        <v>370</v>
      </c>
      <c r="E105" s="22"/>
      <c r="F105" s="23" t="s">
        <v>15</v>
      </c>
      <c r="G105" s="24" t="s">
        <v>123</v>
      </c>
      <c r="H105" s="22" t="s">
        <v>41</v>
      </c>
      <c r="I105" s="22" t="n">
        <v>3</v>
      </c>
      <c r="J105" s="22" t="n">
        <v>16</v>
      </c>
      <c r="K105" s="22" t="s">
        <v>124</v>
      </c>
      <c r="L105" s="22"/>
      <c r="M105" s="22"/>
      <c r="N105" s="24"/>
    </row>
    <row r="106" customFormat="false" ht="15" hidden="false" customHeight="false" outlineLevel="0" collapsed="false">
      <c r="A106" s="22" t="s">
        <v>59</v>
      </c>
      <c r="B106" s="22" t="s">
        <v>395</v>
      </c>
      <c r="C106" s="22" t="s">
        <v>396</v>
      </c>
      <c r="D106" s="22" t="s">
        <v>370</v>
      </c>
      <c r="E106" s="22"/>
      <c r="F106" s="23" t="s">
        <v>15</v>
      </c>
      <c r="G106" s="24" t="s">
        <v>123</v>
      </c>
      <c r="H106" s="22" t="s">
        <v>41</v>
      </c>
      <c r="I106" s="22" t="n">
        <v>3</v>
      </c>
      <c r="J106" s="22" t="n">
        <v>16</v>
      </c>
      <c r="K106" s="22" t="s">
        <v>124</v>
      </c>
      <c r="L106" s="22"/>
      <c r="M106" s="22"/>
      <c r="N106" s="24"/>
    </row>
    <row r="107" customFormat="false" ht="15" hidden="false" customHeight="false" outlineLevel="0" collapsed="false">
      <c r="A107" s="22" t="s">
        <v>59</v>
      </c>
      <c r="B107" s="22" t="s">
        <v>397</v>
      </c>
      <c r="C107" s="22" t="s">
        <v>398</v>
      </c>
      <c r="D107" s="22" t="s">
        <v>370</v>
      </c>
      <c r="E107" s="22"/>
      <c r="F107" s="23" t="s">
        <v>15</v>
      </c>
      <c r="G107" s="24" t="s">
        <v>123</v>
      </c>
      <c r="H107" s="22" t="s">
        <v>41</v>
      </c>
      <c r="I107" s="22" t="n">
        <v>3</v>
      </c>
      <c r="J107" s="22" t="n">
        <v>16</v>
      </c>
      <c r="K107" s="22" t="s">
        <v>124</v>
      </c>
      <c r="L107" s="22"/>
      <c r="M107" s="22"/>
      <c r="N107" s="24"/>
    </row>
    <row r="108" customFormat="false" ht="15" hidden="false" customHeight="false" outlineLevel="0" collapsed="false">
      <c r="A108" s="22" t="s">
        <v>59</v>
      </c>
      <c r="B108" s="22" t="s">
        <v>399</v>
      </c>
      <c r="C108" s="22" t="s">
        <v>400</v>
      </c>
      <c r="D108" s="22" t="s">
        <v>373</v>
      </c>
      <c r="E108" s="22"/>
      <c r="F108" s="23" t="s">
        <v>15</v>
      </c>
      <c r="G108" s="24" t="s">
        <v>123</v>
      </c>
      <c r="H108" s="22" t="s">
        <v>41</v>
      </c>
      <c r="I108" s="22" t="n">
        <v>3</v>
      </c>
      <c r="J108" s="22" t="n">
        <v>2</v>
      </c>
      <c r="K108" s="22" t="s">
        <v>124</v>
      </c>
      <c r="L108" s="22"/>
      <c r="M108" s="22"/>
      <c r="N108" s="24"/>
    </row>
    <row r="109" customFormat="false" ht="15" hidden="false" customHeight="false" outlineLevel="0" collapsed="false">
      <c r="A109" s="22" t="s">
        <v>59</v>
      </c>
      <c r="B109" s="22" t="s">
        <v>401</v>
      </c>
      <c r="C109" s="22" t="s">
        <v>402</v>
      </c>
      <c r="D109" s="22" t="s">
        <v>370</v>
      </c>
      <c r="E109" s="22"/>
      <c r="F109" s="23" t="s">
        <v>15</v>
      </c>
      <c r="G109" s="24" t="s">
        <v>123</v>
      </c>
      <c r="H109" s="22" t="s">
        <v>41</v>
      </c>
      <c r="I109" s="22" t="n">
        <v>3</v>
      </c>
      <c r="J109" s="22" t="n">
        <v>16</v>
      </c>
      <c r="K109" s="22" t="s">
        <v>124</v>
      </c>
      <c r="L109" s="22"/>
      <c r="M109" s="22"/>
      <c r="N109" s="24"/>
    </row>
    <row r="110" customFormat="false" ht="15" hidden="false" customHeight="false" outlineLevel="0" collapsed="false">
      <c r="A110" s="22" t="s">
        <v>59</v>
      </c>
      <c r="B110" s="22" t="s">
        <v>403</v>
      </c>
      <c r="C110" s="22" t="s">
        <v>404</v>
      </c>
      <c r="D110" s="22" t="s">
        <v>370</v>
      </c>
      <c r="E110" s="22"/>
      <c r="F110" s="23" t="s">
        <v>15</v>
      </c>
      <c r="G110" s="24" t="s">
        <v>123</v>
      </c>
      <c r="H110" s="22" t="s">
        <v>41</v>
      </c>
      <c r="I110" s="22" t="n">
        <v>3</v>
      </c>
      <c r="J110" s="22" t="n">
        <v>16</v>
      </c>
      <c r="K110" s="22" t="s">
        <v>124</v>
      </c>
      <c r="L110" s="22"/>
      <c r="M110" s="22"/>
      <c r="N110" s="24"/>
    </row>
    <row r="111" customFormat="false" ht="35.05" hidden="false" customHeight="false" outlineLevel="0" collapsed="false">
      <c r="A111" s="22" t="s">
        <v>59</v>
      </c>
      <c r="B111" s="22" t="s">
        <v>405</v>
      </c>
      <c r="C111" s="22" t="s">
        <v>406</v>
      </c>
      <c r="D111" s="22" t="s">
        <v>407</v>
      </c>
      <c r="E111" s="22"/>
      <c r="F111" s="25" t="s">
        <v>17</v>
      </c>
      <c r="G111" s="24" t="s">
        <v>133</v>
      </c>
      <c r="H111" s="22" t="s">
        <v>42</v>
      </c>
      <c r="I111" s="22" t="n">
        <v>3</v>
      </c>
      <c r="J111" s="22" t="n">
        <v>1</v>
      </c>
      <c r="K111" s="22" t="s">
        <v>124</v>
      </c>
      <c r="L111" s="22"/>
      <c r="M111" s="22"/>
      <c r="N111" s="24"/>
    </row>
    <row r="112" customFormat="false" ht="35.05" hidden="false" customHeight="false" outlineLevel="0" collapsed="false">
      <c r="A112" s="22" t="s">
        <v>59</v>
      </c>
      <c r="B112" s="22" t="s">
        <v>408</v>
      </c>
      <c r="C112" s="22" t="s">
        <v>409</v>
      </c>
      <c r="D112" s="22" t="s">
        <v>410</v>
      </c>
      <c r="E112" s="22"/>
      <c r="F112" s="25" t="s">
        <v>17</v>
      </c>
      <c r="G112" s="24" t="s">
        <v>133</v>
      </c>
      <c r="H112" s="22" t="s">
        <v>42</v>
      </c>
      <c r="I112" s="22" t="n">
        <v>3</v>
      </c>
      <c r="J112" s="22" t="n">
        <v>1</v>
      </c>
      <c r="K112" s="22" t="s">
        <v>124</v>
      </c>
      <c r="L112" s="22"/>
      <c r="M112" s="22"/>
      <c r="N112" s="24"/>
    </row>
    <row r="113" customFormat="false" ht="23.85" hidden="false" customHeight="false" outlineLevel="0" collapsed="false">
      <c r="A113" s="22" t="s">
        <v>59</v>
      </c>
      <c r="B113" s="22" t="s">
        <v>411</v>
      </c>
      <c r="C113" s="22" t="s">
        <v>412</v>
      </c>
      <c r="D113" s="22" t="s">
        <v>413</v>
      </c>
      <c r="E113" s="22"/>
      <c r="F113" s="27" t="s">
        <v>19</v>
      </c>
      <c r="G113" s="24" t="s">
        <v>181</v>
      </c>
      <c r="H113" s="22" t="s">
        <v>42</v>
      </c>
      <c r="I113" s="22" t="n">
        <v>3</v>
      </c>
      <c r="J113" s="22" t="n">
        <v>1</v>
      </c>
      <c r="K113" s="22" t="s">
        <v>124</v>
      </c>
      <c r="L113" s="22"/>
      <c r="M113" s="22"/>
      <c r="N113" s="24"/>
    </row>
    <row r="114" customFormat="false" ht="23.85" hidden="false" customHeight="false" outlineLevel="0" collapsed="false">
      <c r="A114" s="22" t="s">
        <v>59</v>
      </c>
      <c r="B114" s="22" t="s">
        <v>414</v>
      </c>
      <c r="C114" s="22" t="s">
        <v>415</v>
      </c>
      <c r="D114" s="22" t="s">
        <v>416</v>
      </c>
      <c r="E114" s="22"/>
      <c r="F114" s="26" t="s">
        <v>23</v>
      </c>
      <c r="G114" s="24" t="s">
        <v>149</v>
      </c>
      <c r="H114" s="22" t="s">
        <v>44</v>
      </c>
      <c r="I114" s="22" t="n">
        <v>3</v>
      </c>
      <c r="J114" s="22" t="n">
        <v>5</v>
      </c>
      <c r="K114" s="22" t="s">
        <v>124</v>
      </c>
      <c r="L114" s="22"/>
      <c r="M114" s="22"/>
      <c r="N114" s="24"/>
    </row>
    <row r="115" customFormat="false" ht="35.05" hidden="false" customHeight="false" outlineLevel="0" collapsed="false">
      <c r="A115" s="22" t="s">
        <v>59</v>
      </c>
      <c r="B115" s="22" t="s">
        <v>417</v>
      </c>
      <c r="C115" s="22" t="s">
        <v>418</v>
      </c>
      <c r="D115" s="22" t="s">
        <v>419</v>
      </c>
      <c r="E115" s="22"/>
      <c r="F115" s="25" t="s">
        <v>17</v>
      </c>
      <c r="G115" s="24" t="s">
        <v>133</v>
      </c>
      <c r="H115" s="22" t="s">
        <v>42</v>
      </c>
      <c r="I115" s="22" t="n">
        <v>3</v>
      </c>
      <c r="J115" s="22" t="n">
        <v>1</v>
      </c>
      <c r="K115" s="22" t="s">
        <v>124</v>
      </c>
      <c r="L115" s="22"/>
      <c r="M115" s="22"/>
      <c r="N115" s="24"/>
    </row>
    <row r="116" customFormat="false" ht="15" hidden="false" customHeight="false" outlineLevel="0" collapsed="false">
      <c r="A116" s="22" t="s">
        <v>59</v>
      </c>
      <c r="B116" s="22" t="s">
        <v>420</v>
      </c>
      <c r="C116" s="22" t="s">
        <v>421</v>
      </c>
      <c r="D116" s="22"/>
      <c r="E116" s="22"/>
      <c r="F116" s="26" t="s">
        <v>25</v>
      </c>
      <c r="G116" s="24" t="s">
        <v>422</v>
      </c>
      <c r="H116" s="22" t="s">
        <v>44</v>
      </c>
      <c r="I116" s="22" t="n">
        <v>3</v>
      </c>
      <c r="J116" s="22" t="n">
        <v>0</v>
      </c>
      <c r="K116" s="22" t="s">
        <v>124</v>
      </c>
      <c r="L116" s="22"/>
      <c r="M116" s="22"/>
      <c r="N116" s="24"/>
    </row>
    <row r="117" customFormat="false" ht="35.05" hidden="false" customHeight="false" outlineLevel="0" collapsed="false">
      <c r="A117" s="22" t="s">
        <v>59</v>
      </c>
      <c r="B117" s="22" t="s">
        <v>423</v>
      </c>
      <c r="C117" s="22" t="s">
        <v>424</v>
      </c>
      <c r="D117" s="22" t="s">
        <v>425</v>
      </c>
      <c r="E117" s="22"/>
      <c r="F117" s="25" t="s">
        <v>17</v>
      </c>
      <c r="G117" s="24" t="s">
        <v>133</v>
      </c>
      <c r="H117" s="22" t="s">
        <v>42</v>
      </c>
      <c r="I117" s="22" t="n">
        <v>3</v>
      </c>
      <c r="J117" s="22" t="n">
        <v>1</v>
      </c>
      <c r="K117" s="22" t="s">
        <v>124</v>
      </c>
      <c r="L117" s="22"/>
      <c r="M117" s="22"/>
      <c r="N117" s="24"/>
    </row>
    <row r="118" customFormat="false" ht="35.05" hidden="false" customHeight="false" outlineLevel="0" collapsed="false">
      <c r="A118" s="22" t="s">
        <v>59</v>
      </c>
      <c r="B118" s="22" t="s">
        <v>426</v>
      </c>
      <c r="C118" s="22" t="s">
        <v>427</v>
      </c>
      <c r="D118" s="22" t="s">
        <v>428</v>
      </c>
      <c r="E118" s="22"/>
      <c r="F118" s="25" t="s">
        <v>17</v>
      </c>
      <c r="G118" s="24" t="s">
        <v>137</v>
      </c>
      <c r="H118" s="22" t="s">
        <v>42</v>
      </c>
      <c r="I118" s="22" t="n">
        <v>3</v>
      </c>
      <c r="J118" s="22" t="n">
        <v>1</v>
      </c>
      <c r="K118" s="22" t="s">
        <v>124</v>
      </c>
      <c r="L118" s="22"/>
      <c r="M118" s="22"/>
      <c r="N118" s="24"/>
    </row>
    <row r="119" customFormat="false" ht="35.05" hidden="false" customHeight="false" outlineLevel="0" collapsed="false">
      <c r="A119" s="22" t="s">
        <v>59</v>
      </c>
      <c r="B119" s="22" t="s">
        <v>429</v>
      </c>
      <c r="C119" s="22" t="s">
        <v>430</v>
      </c>
      <c r="D119" s="22" t="s">
        <v>431</v>
      </c>
      <c r="E119" s="22"/>
      <c r="F119" s="25" t="s">
        <v>17</v>
      </c>
      <c r="G119" s="24" t="s">
        <v>133</v>
      </c>
      <c r="H119" s="22" t="s">
        <v>42</v>
      </c>
      <c r="I119" s="22" t="n">
        <v>3</v>
      </c>
      <c r="J119" s="22" t="n">
        <v>1</v>
      </c>
      <c r="K119" s="22" t="s">
        <v>124</v>
      </c>
      <c r="L119" s="22"/>
      <c r="M119" s="22"/>
      <c r="N119" s="24"/>
    </row>
    <row r="120" customFormat="false" ht="23.85" hidden="false" customHeight="false" outlineLevel="0" collapsed="false">
      <c r="A120" s="22" t="s">
        <v>59</v>
      </c>
      <c r="B120" s="22" t="s">
        <v>432</v>
      </c>
      <c r="C120" s="22" t="s">
        <v>433</v>
      </c>
      <c r="D120" s="22" t="s">
        <v>434</v>
      </c>
      <c r="E120" s="22"/>
      <c r="F120" s="26" t="s">
        <v>23</v>
      </c>
      <c r="G120" s="24" t="s">
        <v>149</v>
      </c>
      <c r="H120" s="22" t="s">
        <v>44</v>
      </c>
      <c r="I120" s="22" t="n">
        <v>3</v>
      </c>
      <c r="J120" s="22" t="n">
        <v>5</v>
      </c>
      <c r="K120" s="22" t="s">
        <v>124</v>
      </c>
      <c r="L120" s="22"/>
      <c r="M120" s="22"/>
      <c r="N120" s="24"/>
    </row>
    <row r="121" customFormat="false" ht="15" hidden="false" customHeight="false" outlineLevel="0" collapsed="false">
      <c r="A121" s="22" t="s">
        <v>59</v>
      </c>
      <c r="B121" s="22" t="s">
        <v>435</v>
      </c>
      <c r="C121" s="22" t="s">
        <v>436</v>
      </c>
      <c r="D121" s="22"/>
      <c r="E121" s="22"/>
      <c r="F121" s="26" t="s">
        <v>25</v>
      </c>
      <c r="G121" s="24" t="s">
        <v>422</v>
      </c>
      <c r="H121" s="22" t="s">
        <v>44</v>
      </c>
      <c r="I121" s="22" t="n">
        <v>3</v>
      </c>
      <c r="J121" s="22" t="n">
        <v>0</v>
      </c>
      <c r="K121" s="22" t="s">
        <v>124</v>
      </c>
      <c r="L121" s="22"/>
      <c r="M121" s="22"/>
      <c r="N121" s="24"/>
    </row>
    <row r="122" customFormat="false" ht="15" hidden="false" customHeight="false" outlineLevel="0" collapsed="false">
      <c r="A122" s="22" t="s">
        <v>59</v>
      </c>
      <c r="B122" s="22" t="s">
        <v>437</v>
      </c>
      <c r="C122" s="22" t="s">
        <v>438</v>
      </c>
      <c r="D122" s="22"/>
      <c r="E122" s="22"/>
      <c r="F122" s="26" t="s">
        <v>25</v>
      </c>
      <c r="G122" s="24" t="s">
        <v>422</v>
      </c>
      <c r="H122" s="22" t="s">
        <v>44</v>
      </c>
      <c r="I122" s="22" t="n">
        <v>3</v>
      </c>
      <c r="J122" s="22" t="n">
        <v>0</v>
      </c>
      <c r="K122" s="22" t="s">
        <v>124</v>
      </c>
      <c r="L122" s="22"/>
      <c r="M122" s="22"/>
      <c r="N122" s="24"/>
    </row>
    <row r="123" customFormat="false" ht="35.05" hidden="false" customHeight="false" outlineLevel="0" collapsed="false">
      <c r="A123" s="22" t="s">
        <v>59</v>
      </c>
      <c r="B123" s="22" t="s">
        <v>439</v>
      </c>
      <c r="C123" s="22" t="s">
        <v>440</v>
      </c>
      <c r="D123" s="22" t="s">
        <v>441</v>
      </c>
      <c r="E123" s="22"/>
      <c r="F123" s="25" t="s">
        <v>17</v>
      </c>
      <c r="G123" s="24" t="s">
        <v>137</v>
      </c>
      <c r="H123" s="22" t="s">
        <v>42</v>
      </c>
      <c r="I123" s="22" t="n">
        <v>3</v>
      </c>
      <c r="J123" s="22" t="n">
        <v>1</v>
      </c>
      <c r="K123" s="22" t="s">
        <v>124</v>
      </c>
      <c r="L123" s="22"/>
      <c r="M123" s="22"/>
      <c r="N123" s="24"/>
    </row>
    <row r="124" customFormat="false" ht="35.05" hidden="false" customHeight="false" outlineLevel="0" collapsed="false">
      <c r="A124" s="22" t="s">
        <v>59</v>
      </c>
      <c r="B124" s="22" t="s">
        <v>442</v>
      </c>
      <c r="C124" s="22" t="s">
        <v>443</v>
      </c>
      <c r="D124" s="22" t="s">
        <v>444</v>
      </c>
      <c r="E124" s="22"/>
      <c r="F124" s="25" t="s">
        <v>17</v>
      </c>
      <c r="G124" s="24" t="s">
        <v>137</v>
      </c>
      <c r="H124" s="22" t="s">
        <v>42</v>
      </c>
      <c r="I124" s="22" t="n">
        <v>3</v>
      </c>
      <c r="J124" s="22" t="n">
        <v>1</v>
      </c>
      <c r="K124" s="22" t="s">
        <v>124</v>
      </c>
      <c r="L124" s="22"/>
      <c r="M124" s="22"/>
      <c r="N124" s="24"/>
    </row>
    <row r="125" customFormat="false" ht="35.05" hidden="false" customHeight="false" outlineLevel="0" collapsed="false">
      <c r="A125" s="22" t="s">
        <v>59</v>
      </c>
      <c r="B125" s="22" t="s">
        <v>445</v>
      </c>
      <c r="C125" s="22" t="s">
        <v>446</v>
      </c>
      <c r="D125" s="22" t="s">
        <v>447</v>
      </c>
      <c r="E125" s="22"/>
      <c r="F125" s="25" t="s">
        <v>17</v>
      </c>
      <c r="G125" s="24" t="s">
        <v>137</v>
      </c>
      <c r="H125" s="22" t="s">
        <v>42</v>
      </c>
      <c r="I125" s="22" t="n">
        <v>3</v>
      </c>
      <c r="J125" s="22" t="n">
        <v>1</v>
      </c>
      <c r="K125" s="22" t="s">
        <v>124</v>
      </c>
      <c r="L125" s="22"/>
      <c r="M125" s="22"/>
      <c r="N125" s="24"/>
    </row>
    <row r="126" customFormat="false" ht="35.05" hidden="false" customHeight="false" outlineLevel="0" collapsed="false">
      <c r="A126" s="22" t="s">
        <v>59</v>
      </c>
      <c r="B126" s="22" t="s">
        <v>448</v>
      </c>
      <c r="C126" s="22" t="s">
        <v>449</v>
      </c>
      <c r="D126" s="22" t="s">
        <v>450</v>
      </c>
      <c r="E126" s="22"/>
      <c r="F126" s="25" t="s">
        <v>17</v>
      </c>
      <c r="G126" s="24" t="s">
        <v>133</v>
      </c>
      <c r="H126" s="22" t="s">
        <v>42</v>
      </c>
      <c r="I126" s="22" t="n">
        <v>3</v>
      </c>
      <c r="J126" s="22" t="n">
        <v>1</v>
      </c>
      <c r="K126" s="22" t="s">
        <v>124</v>
      </c>
      <c r="L126" s="22"/>
      <c r="M126" s="22"/>
      <c r="N126" s="24"/>
    </row>
    <row r="127" customFormat="false" ht="35.05" hidden="false" customHeight="false" outlineLevel="0" collapsed="false">
      <c r="A127" s="22" t="s">
        <v>59</v>
      </c>
      <c r="B127" s="22" t="s">
        <v>451</v>
      </c>
      <c r="C127" s="22" t="s">
        <v>452</v>
      </c>
      <c r="D127" s="22" t="s">
        <v>453</v>
      </c>
      <c r="E127" s="22"/>
      <c r="F127" s="25" t="s">
        <v>17</v>
      </c>
      <c r="G127" s="24" t="s">
        <v>137</v>
      </c>
      <c r="H127" s="22" t="s">
        <v>42</v>
      </c>
      <c r="I127" s="22" t="n">
        <v>3</v>
      </c>
      <c r="J127" s="22" t="n">
        <v>1</v>
      </c>
      <c r="K127" s="22" t="s">
        <v>124</v>
      </c>
      <c r="L127" s="22"/>
      <c r="M127" s="22"/>
      <c r="N127" s="24"/>
    </row>
    <row r="128" customFormat="false" ht="23.85" hidden="false" customHeight="false" outlineLevel="0" collapsed="false">
      <c r="A128" s="22" t="s">
        <v>59</v>
      </c>
      <c r="B128" s="22" t="s">
        <v>454</v>
      </c>
      <c r="C128" s="22" t="s">
        <v>455</v>
      </c>
      <c r="D128" s="22" t="s">
        <v>456</v>
      </c>
      <c r="E128" s="22"/>
      <c r="F128" s="26" t="s">
        <v>23</v>
      </c>
      <c r="G128" s="24" t="s">
        <v>149</v>
      </c>
      <c r="H128" s="22" t="s">
        <v>44</v>
      </c>
      <c r="I128" s="22" t="n">
        <v>3</v>
      </c>
      <c r="J128" s="22" t="n">
        <v>5</v>
      </c>
      <c r="K128" s="22" t="s">
        <v>124</v>
      </c>
      <c r="L128" s="22"/>
      <c r="M128" s="22"/>
      <c r="N128" s="24"/>
    </row>
    <row r="129" customFormat="false" ht="35.05" hidden="false" customHeight="false" outlineLevel="0" collapsed="false">
      <c r="A129" s="22" t="s">
        <v>59</v>
      </c>
      <c r="B129" s="22" t="s">
        <v>457</v>
      </c>
      <c r="C129" s="22" t="s">
        <v>458</v>
      </c>
      <c r="D129" s="22" t="s">
        <v>459</v>
      </c>
      <c r="E129" s="22"/>
      <c r="F129" s="25" t="s">
        <v>17</v>
      </c>
      <c r="G129" s="24" t="s">
        <v>137</v>
      </c>
      <c r="H129" s="22" t="s">
        <v>42</v>
      </c>
      <c r="I129" s="22" t="n">
        <v>3</v>
      </c>
      <c r="J129" s="22" t="n">
        <v>1</v>
      </c>
      <c r="K129" s="22" t="s">
        <v>124</v>
      </c>
      <c r="L129" s="22"/>
      <c r="M129" s="22"/>
      <c r="N129" s="24"/>
    </row>
    <row r="130" customFormat="false" ht="15" hidden="false" customHeight="false" outlineLevel="0" collapsed="false">
      <c r="A130" s="22" t="s">
        <v>59</v>
      </c>
      <c r="B130" s="22" t="s">
        <v>460</v>
      </c>
      <c r="C130" s="22" t="s">
        <v>381</v>
      </c>
      <c r="D130" s="22" t="s">
        <v>461</v>
      </c>
      <c r="E130" s="22"/>
      <c r="F130" s="23" t="s">
        <v>15</v>
      </c>
      <c r="G130" s="24" t="s">
        <v>123</v>
      </c>
      <c r="H130" s="22" t="s">
        <v>41</v>
      </c>
      <c r="I130" s="22" t="n">
        <v>3</v>
      </c>
      <c r="J130" s="22" t="n">
        <v>9</v>
      </c>
      <c r="K130" s="22" t="s">
        <v>124</v>
      </c>
      <c r="L130" s="22"/>
      <c r="M130" s="22"/>
      <c r="N130" s="24"/>
    </row>
    <row r="131" customFormat="false" ht="35.05" hidden="false" customHeight="false" outlineLevel="0" collapsed="false">
      <c r="A131" s="22" t="s">
        <v>59</v>
      </c>
      <c r="B131" s="22" t="s">
        <v>462</v>
      </c>
      <c r="C131" s="22" t="s">
        <v>463</v>
      </c>
      <c r="D131" s="22" t="s">
        <v>464</v>
      </c>
      <c r="E131" s="22"/>
      <c r="F131" s="25" t="s">
        <v>17</v>
      </c>
      <c r="G131" s="24" t="s">
        <v>133</v>
      </c>
      <c r="H131" s="22" t="s">
        <v>42</v>
      </c>
      <c r="I131" s="22" t="n">
        <v>3</v>
      </c>
      <c r="J131" s="22" t="n">
        <v>1</v>
      </c>
      <c r="K131" s="22" t="s">
        <v>124</v>
      </c>
      <c r="L131" s="22"/>
      <c r="M131" s="22"/>
      <c r="N131" s="24"/>
    </row>
    <row r="132" customFormat="false" ht="15" hidden="false" customHeight="false" outlineLevel="0" collapsed="false">
      <c r="A132" s="22" t="s">
        <v>59</v>
      </c>
      <c r="B132" s="22" t="s">
        <v>465</v>
      </c>
      <c r="C132" s="22" t="s">
        <v>466</v>
      </c>
      <c r="D132" s="22"/>
      <c r="E132" s="22"/>
      <c r="F132" s="26" t="s">
        <v>25</v>
      </c>
      <c r="G132" s="24" t="s">
        <v>422</v>
      </c>
      <c r="H132" s="22" t="s">
        <v>44</v>
      </c>
      <c r="I132" s="22" t="n">
        <v>3</v>
      </c>
      <c r="J132" s="22" t="n">
        <v>0</v>
      </c>
      <c r="K132" s="22" t="s">
        <v>124</v>
      </c>
      <c r="L132" s="22"/>
      <c r="M132" s="22"/>
      <c r="N132" s="24"/>
    </row>
    <row r="133" customFormat="false" ht="35.05" hidden="false" customHeight="false" outlineLevel="0" collapsed="false">
      <c r="A133" s="22" t="s">
        <v>59</v>
      </c>
      <c r="B133" s="22" t="s">
        <v>467</v>
      </c>
      <c r="C133" s="22" t="s">
        <v>468</v>
      </c>
      <c r="D133" s="22" t="s">
        <v>469</v>
      </c>
      <c r="E133" s="22"/>
      <c r="F133" s="25" t="s">
        <v>17</v>
      </c>
      <c r="G133" s="24" t="s">
        <v>137</v>
      </c>
      <c r="H133" s="22" t="s">
        <v>42</v>
      </c>
      <c r="I133" s="22" t="n">
        <v>3</v>
      </c>
      <c r="J133" s="22" t="n">
        <v>1</v>
      </c>
      <c r="K133" s="22" t="s">
        <v>124</v>
      </c>
      <c r="L133" s="22"/>
      <c r="M133" s="22"/>
      <c r="N133" s="24"/>
    </row>
    <row r="134" customFormat="false" ht="23.85" hidden="false" customHeight="false" outlineLevel="0" collapsed="false">
      <c r="A134" s="22" t="s">
        <v>59</v>
      </c>
      <c r="B134" s="22" t="s">
        <v>470</v>
      </c>
      <c r="C134" s="22" t="s">
        <v>471</v>
      </c>
      <c r="D134" s="22" t="s">
        <v>472</v>
      </c>
      <c r="E134" s="22"/>
      <c r="F134" s="26" t="s">
        <v>23</v>
      </c>
      <c r="G134" s="24" t="s">
        <v>149</v>
      </c>
      <c r="H134" s="22" t="s">
        <v>44</v>
      </c>
      <c r="I134" s="22" t="n">
        <v>3</v>
      </c>
      <c r="J134" s="22" t="n">
        <v>1</v>
      </c>
      <c r="K134" s="22" t="s">
        <v>124</v>
      </c>
      <c r="L134" s="22"/>
      <c r="M134" s="22"/>
      <c r="N134" s="24"/>
    </row>
    <row r="135" customFormat="false" ht="15" hidden="false" customHeight="false" outlineLevel="0" collapsed="false">
      <c r="A135" s="22" t="s">
        <v>59</v>
      </c>
      <c r="B135" s="22" t="s">
        <v>473</v>
      </c>
      <c r="C135" s="22" t="s">
        <v>381</v>
      </c>
      <c r="D135" s="22" t="s">
        <v>168</v>
      </c>
      <c r="E135" s="22"/>
      <c r="F135" s="23" t="s">
        <v>15</v>
      </c>
      <c r="G135" s="24" t="s">
        <v>123</v>
      </c>
      <c r="H135" s="22" t="s">
        <v>41</v>
      </c>
      <c r="I135" s="22" t="n">
        <v>3</v>
      </c>
      <c r="J135" s="22" t="n">
        <v>9</v>
      </c>
      <c r="K135" s="22" t="s">
        <v>124</v>
      </c>
      <c r="L135" s="22"/>
      <c r="M135" s="22"/>
      <c r="N135" s="24"/>
    </row>
    <row r="136" customFormat="false" ht="35.05" hidden="false" customHeight="false" outlineLevel="0" collapsed="false">
      <c r="A136" s="22" t="s">
        <v>59</v>
      </c>
      <c r="B136" s="22" t="s">
        <v>474</v>
      </c>
      <c r="C136" s="22" t="s">
        <v>475</v>
      </c>
      <c r="D136" s="22" t="s">
        <v>476</v>
      </c>
      <c r="E136" s="22"/>
      <c r="F136" s="25" t="s">
        <v>17</v>
      </c>
      <c r="G136" s="24" t="s">
        <v>133</v>
      </c>
      <c r="H136" s="22" t="s">
        <v>42</v>
      </c>
      <c r="I136" s="22" t="n">
        <v>3</v>
      </c>
      <c r="J136" s="22" t="n">
        <v>1</v>
      </c>
      <c r="K136" s="22" t="s">
        <v>124</v>
      </c>
      <c r="L136" s="22"/>
      <c r="M136" s="22"/>
      <c r="N136" s="24"/>
    </row>
    <row r="137" customFormat="false" ht="35.05" hidden="false" customHeight="false" outlineLevel="0" collapsed="false">
      <c r="A137" s="22" t="s">
        <v>59</v>
      </c>
      <c r="B137" s="22" t="s">
        <v>477</v>
      </c>
      <c r="C137" s="22" t="s">
        <v>478</v>
      </c>
      <c r="D137" s="22" t="s">
        <v>479</v>
      </c>
      <c r="E137" s="22"/>
      <c r="F137" s="25" t="s">
        <v>17</v>
      </c>
      <c r="G137" s="24" t="s">
        <v>133</v>
      </c>
      <c r="H137" s="22" t="s">
        <v>42</v>
      </c>
      <c r="I137" s="22" t="n">
        <v>3</v>
      </c>
      <c r="J137" s="22" t="n">
        <v>1</v>
      </c>
      <c r="K137" s="22" t="s">
        <v>124</v>
      </c>
      <c r="L137" s="22"/>
      <c r="M137" s="22"/>
      <c r="N137" s="24"/>
    </row>
    <row r="138" customFormat="false" ht="35.05" hidden="false" customHeight="false" outlineLevel="0" collapsed="false">
      <c r="A138" s="22" t="s">
        <v>59</v>
      </c>
      <c r="B138" s="22" t="s">
        <v>480</v>
      </c>
      <c r="C138" s="22" t="s">
        <v>481</v>
      </c>
      <c r="D138" s="22" t="s">
        <v>482</v>
      </c>
      <c r="E138" s="22"/>
      <c r="F138" s="25" t="s">
        <v>17</v>
      </c>
      <c r="G138" s="24" t="s">
        <v>133</v>
      </c>
      <c r="H138" s="22" t="s">
        <v>42</v>
      </c>
      <c r="I138" s="22" t="n">
        <v>3</v>
      </c>
      <c r="J138" s="22" t="n">
        <v>1</v>
      </c>
      <c r="K138" s="22" t="s">
        <v>124</v>
      </c>
      <c r="L138" s="22"/>
      <c r="M138" s="22"/>
      <c r="N138" s="24"/>
    </row>
    <row r="139" customFormat="false" ht="35.05" hidden="false" customHeight="false" outlineLevel="0" collapsed="false">
      <c r="A139" s="22" t="s">
        <v>59</v>
      </c>
      <c r="B139" s="22" t="s">
        <v>483</v>
      </c>
      <c r="C139" s="22" t="s">
        <v>484</v>
      </c>
      <c r="D139" s="22" t="s">
        <v>485</v>
      </c>
      <c r="E139" s="22"/>
      <c r="F139" s="25" t="s">
        <v>17</v>
      </c>
      <c r="G139" s="24" t="s">
        <v>137</v>
      </c>
      <c r="H139" s="22" t="s">
        <v>42</v>
      </c>
      <c r="I139" s="22" t="n">
        <v>3</v>
      </c>
      <c r="J139" s="22" t="n">
        <v>1</v>
      </c>
      <c r="K139" s="22" t="s">
        <v>124</v>
      </c>
      <c r="L139" s="22"/>
      <c r="M139" s="22"/>
      <c r="N139" s="24"/>
    </row>
    <row r="140" customFormat="false" ht="35.05" hidden="false" customHeight="false" outlineLevel="0" collapsed="false">
      <c r="A140" s="22" t="s">
        <v>59</v>
      </c>
      <c r="B140" s="22" t="s">
        <v>486</v>
      </c>
      <c r="C140" s="22" t="s">
        <v>487</v>
      </c>
      <c r="D140" s="22" t="s">
        <v>488</v>
      </c>
      <c r="E140" s="22"/>
      <c r="F140" s="25" t="s">
        <v>17</v>
      </c>
      <c r="G140" s="24" t="s">
        <v>137</v>
      </c>
      <c r="H140" s="22" t="s">
        <v>42</v>
      </c>
      <c r="I140" s="22" t="n">
        <v>3</v>
      </c>
      <c r="J140" s="22" t="n">
        <v>1</v>
      </c>
      <c r="K140" s="22" t="s">
        <v>124</v>
      </c>
      <c r="L140" s="22"/>
      <c r="M140" s="22"/>
      <c r="N140" s="24"/>
    </row>
    <row r="141" customFormat="false" ht="35.05" hidden="false" customHeight="false" outlineLevel="0" collapsed="false">
      <c r="A141" s="22" t="s">
        <v>59</v>
      </c>
      <c r="B141" s="22" t="s">
        <v>489</v>
      </c>
      <c r="C141" s="22" t="s">
        <v>490</v>
      </c>
      <c r="D141" s="22" t="s">
        <v>491</v>
      </c>
      <c r="E141" s="22"/>
      <c r="F141" s="25" t="s">
        <v>17</v>
      </c>
      <c r="G141" s="24" t="s">
        <v>137</v>
      </c>
      <c r="H141" s="22" t="s">
        <v>42</v>
      </c>
      <c r="I141" s="22" t="n">
        <v>3</v>
      </c>
      <c r="J141" s="22" t="n">
        <v>1</v>
      </c>
      <c r="K141" s="22" t="s">
        <v>124</v>
      </c>
      <c r="L141" s="22"/>
      <c r="M141" s="22"/>
      <c r="N141" s="24"/>
    </row>
    <row r="142" customFormat="false" ht="35.05" hidden="false" customHeight="false" outlineLevel="0" collapsed="false">
      <c r="A142" s="22" t="s">
        <v>59</v>
      </c>
      <c r="B142" s="22" t="s">
        <v>492</v>
      </c>
      <c r="C142" s="22" t="s">
        <v>493</v>
      </c>
      <c r="D142" s="22" t="s">
        <v>494</v>
      </c>
      <c r="E142" s="22"/>
      <c r="F142" s="25" t="s">
        <v>17</v>
      </c>
      <c r="G142" s="24" t="s">
        <v>137</v>
      </c>
      <c r="H142" s="22" t="s">
        <v>42</v>
      </c>
      <c r="I142" s="22" t="n">
        <v>3</v>
      </c>
      <c r="J142" s="22" t="n">
        <v>1</v>
      </c>
      <c r="K142" s="22" t="s">
        <v>124</v>
      </c>
      <c r="L142" s="22"/>
      <c r="M142" s="22"/>
      <c r="N142" s="24"/>
    </row>
    <row r="143" customFormat="false" ht="35.05" hidden="false" customHeight="false" outlineLevel="0" collapsed="false">
      <c r="A143" s="22" t="s">
        <v>59</v>
      </c>
      <c r="B143" s="22" t="s">
        <v>495</v>
      </c>
      <c r="C143" s="22" t="s">
        <v>496</v>
      </c>
      <c r="D143" s="22" t="s">
        <v>497</v>
      </c>
      <c r="E143" s="22"/>
      <c r="F143" s="25" t="s">
        <v>17</v>
      </c>
      <c r="G143" s="24" t="s">
        <v>133</v>
      </c>
      <c r="H143" s="22" t="s">
        <v>42</v>
      </c>
      <c r="I143" s="22" t="n">
        <v>3</v>
      </c>
      <c r="J143" s="22" t="n">
        <v>1</v>
      </c>
      <c r="K143" s="22" t="s">
        <v>124</v>
      </c>
      <c r="L143" s="22"/>
      <c r="M143" s="22"/>
      <c r="N143" s="24"/>
    </row>
    <row r="144" customFormat="false" ht="35.05" hidden="false" customHeight="false" outlineLevel="0" collapsed="false">
      <c r="A144" s="22" t="s">
        <v>59</v>
      </c>
      <c r="B144" s="22" t="s">
        <v>498</v>
      </c>
      <c r="C144" s="22" t="s">
        <v>499</v>
      </c>
      <c r="D144" s="22" t="s">
        <v>500</v>
      </c>
      <c r="E144" s="22"/>
      <c r="F144" s="25" t="s">
        <v>17</v>
      </c>
      <c r="G144" s="24" t="s">
        <v>137</v>
      </c>
      <c r="H144" s="22" t="s">
        <v>42</v>
      </c>
      <c r="I144" s="22" t="n">
        <v>3</v>
      </c>
      <c r="J144" s="22" t="n">
        <v>1</v>
      </c>
      <c r="K144" s="22" t="s">
        <v>124</v>
      </c>
      <c r="L144" s="22"/>
      <c r="M144" s="22"/>
      <c r="N144" s="24"/>
    </row>
    <row r="145" customFormat="false" ht="35.05" hidden="false" customHeight="false" outlineLevel="0" collapsed="false">
      <c r="A145" s="22" t="s">
        <v>59</v>
      </c>
      <c r="B145" s="22" t="s">
        <v>501</v>
      </c>
      <c r="C145" s="22" t="s">
        <v>502</v>
      </c>
      <c r="D145" s="22" t="s">
        <v>503</v>
      </c>
      <c r="E145" s="22"/>
      <c r="F145" s="25" t="s">
        <v>17</v>
      </c>
      <c r="G145" s="24" t="s">
        <v>133</v>
      </c>
      <c r="H145" s="22" t="s">
        <v>42</v>
      </c>
      <c r="I145" s="22" t="n">
        <v>3</v>
      </c>
      <c r="J145" s="22" t="n">
        <v>1</v>
      </c>
      <c r="K145" s="22" t="s">
        <v>124</v>
      </c>
      <c r="L145" s="22"/>
      <c r="M145" s="22"/>
      <c r="N145" s="24"/>
    </row>
    <row r="146" customFormat="false" ht="35.05" hidden="false" customHeight="false" outlineLevel="0" collapsed="false">
      <c r="A146" s="22" t="s">
        <v>59</v>
      </c>
      <c r="B146" s="22" t="s">
        <v>504</v>
      </c>
      <c r="C146" s="22" t="s">
        <v>505</v>
      </c>
      <c r="D146" s="22" t="s">
        <v>506</v>
      </c>
      <c r="E146" s="22"/>
      <c r="F146" s="25" t="s">
        <v>17</v>
      </c>
      <c r="G146" s="24" t="s">
        <v>137</v>
      </c>
      <c r="H146" s="22" t="s">
        <v>42</v>
      </c>
      <c r="I146" s="22" t="n">
        <v>3</v>
      </c>
      <c r="J146" s="22" t="n">
        <v>1</v>
      </c>
      <c r="K146" s="22" t="s">
        <v>124</v>
      </c>
      <c r="L146" s="22"/>
      <c r="M146" s="22"/>
      <c r="N146" s="24"/>
    </row>
    <row r="147" customFormat="false" ht="35.05" hidden="false" customHeight="false" outlineLevel="0" collapsed="false">
      <c r="A147" s="22" t="s">
        <v>59</v>
      </c>
      <c r="B147" s="22" t="s">
        <v>507</v>
      </c>
      <c r="C147" s="22" t="s">
        <v>508</v>
      </c>
      <c r="D147" s="22" t="s">
        <v>509</v>
      </c>
      <c r="E147" s="22"/>
      <c r="F147" s="25" t="s">
        <v>17</v>
      </c>
      <c r="G147" s="24" t="s">
        <v>137</v>
      </c>
      <c r="H147" s="22" t="s">
        <v>42</v>
      </c>
      <c r="I147" s="22" t="n">
        <v>3</v>
      </c>
      <c r="J147" s="22" t="n">
        <v>1</v>
      </c>
      <c r="K147" s="22" t="s">
        <v>124</v>
      </c>
      <c r="L147" s="22"/>
      <c r="M147" s="22"/>
      <c r="N147" s="24"/>
    </row>
    <row r="148" customFormat="false" ht="35.05" hidden="false" customHeight="false" outlineLevel="0" collapsed="false">
      <c r="A148" s="22" t="s">
        <v>59</v>
      </c>
      <c r="B148" s="22" t="s">
        <v>510</v>
      </c>
      <c r="C148" s="22" t="s">
        <v>511</v>
      </c>
      <c r="D148" s="22" t="s">
        <v>512</v>
      </c>
      <c r="E148" s="22"/>
      <c r="F148" s="25" t="s">
        <v>17</v>
      </c>
      <c r="G148" s="24" t="s">
        <v>137</v>
      </c>
      <c r="H148" s="22" t="s">
        <v>42</v>
      </c>
      <c r="I148" s="22" t="n">
        <v>3</v>
      </c>
      <c r="J148" s="22" t="n">
        <v>1</v>
      </c>
      <c r="K148" s="22" t="s">
        <v>124</v>
      </c>
      <c r="L148" s="22"/>
      <c r="M148" s="22"/>
      <c r="N148" s="24"/>
    </row>
    <row r="149" customFormat="false" ht="35.05" hidden="false" customHeight="false" outlineLevel="0" collapsed="false">
      <c r="A149" s="22" t="s">
        <v>59</v>
      </c>
      <c r="B149" s="22" t="s">
        <v>513</v>
      </c>
      <c r="C149" s="22" t="s">
        <v>514</v>
      </c>
      <c r="D149" s="22" t="s">
        <v>515</v>
      </c>
      <c r="E149" s="22"/>
      <c r="F149" s="25" t="s">
        <v>17</v>
      </c>
      <c r="G149" s="24" t="s">
        <v>133</v>
      </c>
      <c r="H149" s="22" t="s">
        <v>42</v>
      </c>
      <c r="I149" s="22" t="n">
        <v>3</v>
      </c>
      <c r="J149" s="22" t="n">
        <v>1</v>
      </c>
      <c r="K149" s="22" t="s">
        <v>124</v>
      </c>
      <c r="L149" s="22"/>
      <c r="M149" s="22"/>
      <c r="N149" s="24"/>
    </row>
    <row r="150" customFormat="false" ht="35.05" hidden="false" customHeight="false" outlineLevel="0" collapsed="false">
      <c r="A150" s="22" t="s">
        <v>61</v>
      </c>
      <c r="B150" s="22" t="s">
        <v>516</v>
      </c>
      <c r="C150" s="22" t="s">
        <v>517</v>
      </c>
      <c r="D150" s="22" t="s">
        <v>518</v>
      </c>
      <c r="E150" s="22"/>
      <c r="F150" s="25" t="s">
        <v>17</v>
      </c>
      <c r="G150" s="24" t="s">
        <v>133</v>
      </c>
      <c r="H150" s="22" t="s">
        <v>42</v>
      </c>
      <c r="I150" s="22" t="n">
        <v>4</v>
      </c>
      <c r="J150" s="22" t="n">
        <v>1</v>
      </c>
      <c r="K150" s="22" t="s">
        <v>124</v>
      </c>
      <c r="L150" s="22"/>
      <c r="M150" s="22"/>
      <c r="N150" s="24"/>
    </row>
    <row r="151" customFormat="false" ht="35.05" hidden="false" customHeight="false" outlineLevel="0" collapsed="false">
      <c r="A151" s="22" t="s">
        <v>61</v>
      </c>
      <c r="B151" s="22" t="s">
        <v>519</v>
      </c>
      <c r="C151" s="22" t="s">
        <v>520</v>
      </c>
      <c r="D151" s="22" t="s">
        <v>521</v>
      </c>
      <c r="E151" s="22"/>
      <c r="F151" s="25" t="s">
        <v>17</v>
      </c>
      <c r="G151" s="24" t="s">
        <v>137</v>
      </c>
      <c r="H151" s="22" t="s">
        <v>42</v>
      </c>
      <c r="I151" s="22" t="n">
        <v>4</v>
      </c>
      <c r="J151" s="22" t="n">
        <v>1</v>
      </c>
      <c r="K151" s="22" t="s">
        <v>124</v>
      </c>
      <c r="L151" s="22"/>
      <c r="M151" s="22"/>
      <c r="N151" s="24"/>
    </row>
    <row r="152" customFormat="false" ht="35.05" hidden="false" customHeight="false" outlineLevel="0" collapsed="false">
      <c r="A152" s="22" t="s">
        <v>61</v>
      </c>
      <c r="B152" s="22" t="s">
        <v>522</v>
      </c>
      <c r="C152" s="22" t="s">
        <v>523</v>
      </c>
      <c r="D152" s="22" t="s">
        <v>524</v>
      </c>
      <c r="E152" s="22"/>
      <c r="F152" s="25" t="s">
        <v>17</v>
      </c>
      <c r="G152" s="24" t="s">
        <v>133</v>
      </c>
      <c r="H152" s="22" t="s">
        <v>42</v>
      </c>
      <c r="I152" s="22" t="n">
        <v>4</v>
      </c>
      <c r="J152" s="22" t="n">
        <v>1</v>
      </c>
      <c r="K152" s="22" t="s">
        <v>124</v>
      </c>
      <c r="L152" s="22"/>
      <c r="M152" s="22"/>
      <c r="N152" s="24"/>
    </row>
    <row r="153" customFormat="false" ht="35.05" hidden="false" customHeight="false" outlineLevel="0" collapsed="false">
      <c r="A153" s="22" t="s">
        <v>61</v>
      </c>
      <c r="B153" s="22" t="s">
        <v>525</v>
      </c>
      <c r="C153" s="22" t="s">
        <v>526</v>
      </c>
      <c r="D153" s="22" t="s">
        <v>527</v>
      </c>
      <c r="E153" s="22"/>
      <c r="F153" s="25" t="s">
        <v>17</v>
      </c>
      <c r="G153" s="24" t="s">
        <v>137</v>
      </c>
      <c r="H153" s="22" t="s">
        <v>42</v>
      </c>
      <c r="I153" s="22" t="n">
        <v>4</v>
      </c>
      <c r="J153" s="22" t="n">
        <v>1</v>
      </c>
      <c r="K153" s="22" t="s">
        <v>124</v>
      </c>
      <c r="L153" s="22"/>
      <c r="M153" s="22"/>
      <c r="N153" s="24"/>
    </row>
    <row r="154" customFormat="false" ht="35.05" hidden="false" customHeight="false" outlineLevel="0" collapsed="false">
      <c r="A154" s="22" t="s">
        <v>61</v>
      </c>
      <c r="B154" s="22" t="s">
        <v>528</v>
      </c>
      <c r="C154" s="22" t="s">
        <v>529</v>
      </c>
      <c r="D154" s="22" t="s">
        <v>530</v>
      </c>
      <c r="E154" s="22"/>
      <c r="F154" s="25" t="s">
        <v>17</v>
      </c>
      <c r="G154" s="24" t="s">
        <v>137</v>
      </c>
      <c r="H154" s="22" t="s">
        <v>42</v>
      </c>
      <c r="I154" s="22" t="n">
        <v>4</v>
      </c>
      <c r="J154" s="22" t="n">
        <v>1</v>
      </c>
      <c r="K154" s="22" t="s">
        <v>124</v>
      </c>
      <c r="L154" s="22"/>
      <c r="M154" s="22"/>
      <c r="N154" s="24"/>
    </row>
    <row r="155" customFormat="false" ht="35.05" hidden="false" customHeight="false" outlineLevel="0" collapsed="false">
      <c r="A155" s="22" t="s">
        <v>61</v>
      </c>
      <c r="B155" s="22" t="s">
        <v>531</v>
      </c>
      <c r="C155" s="22" t="s">
        <v>532</v>
      </c>
      <c r="D155" s="22" t="s">
        <v>533</v>
      </c>
      <c r="E155" s="22"/>
      <c r="F155" s="25" t="s">
        <v>17</v>
      </c>
      <c r="G155" s="24" t="s">
        <v>137</v>
      </c>
      <c r="H155" s="22" t="s">
        <v>42</v>
      </c>
      <c r="I155" s="22" t="n">
        <v>4</v>
      </c>
      <c r="J155" s="22" t="n">
        <v>1</v>
      </c>
      <c r="K155" s="22" t="s">
        <v>124</v>
      </c>
      <c r="L155" s="22"/>
      <c r="M155" s="22"/>
      <c r="N155" s="24"/>
    </row>
    <row r="156" customFormat="false" ht="35.05" hidden="false" customHeight="false" outlineLevel="0" collapsed="false">
      <c r="A156" s="22" t="s">
        <v>61</v>
      </c>
      <c r="B156" s="22" t="s">
        <v>534</v>
      </c>
      <c r="C156" s="22" t="s">
        <v>535</v>
      </c>
      <c r="D156" s="22" t="s">
        <v>536</v>
      </c>
      <c r="E156" s="22"/>
      <c r="F156" s="25" t="s">
        <v>17</v>
      </c>
      <c r="G156" s="24" t="s">
        <v>137</v>
      </c>
      <c r="H156" s="22" t="s">
        <v>42</v>
      </c>
      <c r="I156" s="22" t="n">
        <v>4</v>
      </c>
      <c r="J156" s="22" t="n">
        <v>1</v>
      </c>
      <c r="K156" s="22" t="s">
        <v>124</v>
      </c>
      <c r="L156" s="22"/>
      <c r="M156" s="22"/>
      <c r="N156" s="24"/>
    </row>
    <row r="157" customFormat="false" ht="35.05" hidden="false" customHeight="false" outlineLevel="0" collapsed="false">
      <c r="A157" s="22" t="s">
        <v>61</v>
      </c>
      <c r="B157" s="22" t="s">
        <v>537</v>
      </c>
      <c r="C157" s="22" t="s">
        <v>538</v>
      </c>
      <c r="D157" s="22" t="s">
        <v>539</v>
      </c>
      <c r="E157" s="22"/>
      <c r="F157" s="25" t="s">
        <v>17</v>
      </c>
      <c r="G157" s="24" t="s">
        <v>137</v>
      </c>
      <c r="H157" s="22" t="s">
        <v>42</v>
      </c>
      <c r="I157" s="22" t="n">
        <v>4</v>
      </c>
      <c r="J157" s="22" t="n">
        <v>1</v>
      </c>
      <c r="K157" s="22" t="s">
        <v>124</v>
      </c>
      <c r="L157" s="22"/>
      <c r="M157" s="22"/>
      <c r="N157" s="24"/>
    </row>
    <row r="158" customFormat="false" ht="35.05" hidden="false" customHeight="false" outlineLevel="0" collapsed="false">
      <c r="A158" s="22" t="s">
        <v>61</v>
      </c>
      <c r="B158" s="22" t="s">
        <v>540</v>
      </c>
      <c r="C158" s="22" t="s">
        <v>541</v>
      </c>
      <c r="D158" s="22" t="s">
        <v>542</v>
      </c>
      <c r="E158" s="22"/>
      <c r="F158" s="25" t="s">
        <v>17</v>
      </c>
      <c r="G158" s="24" t="s">
        <v>137</v>
      </c>
      <c r="H158" s="22" t="s">
        <v>42</v>
      </c>
      <c r="I158" s="22" t="n">
        <v>4</v>
      </c>
      <c r="J158" s="22" t="n">
        <v>1</v>
      </c>
      <c r="K158" s="22" t="s">
        <v>124</v>
      </c>
      <c r="L158" s="22"/>
      <c r="M158" s="22"/>
      <c r="N158" s="24"/>
    </row>
    <row r="159" customFormat="false" ht="35.05" hidden="false" customHeight="false" outlineLevel="0" collapsed="false">
      <c r="A159" s="22" t="s">
        <v>61</v>
      </c>
      <c r="B159" s="22" t="s">
        <v>543</v>
      </c>
      <c r="C159" s="22" t="s">
        <v>544</v>
      </c>
      <c r="D159" s="22" t="s">
        <v>545</v>
      </c>
      <c r="E159" s="22"/>
      <c r="F159" s="25" t="s">
        <v>17</v>
      </c>
      <c r="G159" s="24" t="s">
        <v>137</v>
      </c>
      <c r="H159" s="22" t="s">
        <v>42</v>
      </c>
      <c r="I159" s="22" t="n">
        <v>4</v>
      </c>
      <c r="J159" s="22" t="n">
        <v>1</v>
      </c>
      <c r="K159" s="22" t="s">
        <v>124</v>
      </c>
      <c r="L159" s="22"/>
      <c r="M159" s="22"/>
      <c r="N159" s="24"/>
    </row>
    <row r="160" customFormat="false" ht="35.05" hidden="false" customHeight="false" outlineLevel="0" collapsed="false">
      <c r="A160" s="22" t="s">
        <v>61</v>
      </c>
      <c r="B160" s="22" t="s">
        <v>546</v>
      </c>
      <c r="C160" s="22" t="s">
        <v>547</v>
      </c>
      <c r="D160" s="22" t="s">
        <v>548</v>
      </c>
      <c r="E160" s="22"/>
      <c r="F160" s="25" t="s">
        <v>17</v>
      </c>
      <c r="G160" s="24" t="s">
        <v>137</v>
      </c>
      <c r="H160" s="22" t="s">
        <v>42</v>
      </c>
      <c r="I160" s="22" t="n">
        <v>4</v>
      </c>
      <c r="J160" s="22" t="n">
        <v>1</v>
      </c>
      <c r="K160" s="22" t="s">
        <v>124</v>
      </c>
      <c r="L160" s="22"/>
      <c r="M160" s="22"/>
      <c r="N160" s="24"/>
    </row>
    <row r="161" customFormat="false" ht="35.05" hidden="false" customHeight="false" outlineLevel="0" collapsed="false">
      <c r="A161" s="22" t="s">
        <v>61</v>
      </c>
      <c r="B161" s="22" t="s">
        <v>549</v>
      </c>
      <c r="C161" s="22" t="s">
        <v>550</v>
      </c>
      <c r="D161" s="22" t="s">
        <v>551</v>
      </c>
      <c r="E161" s="22"/>
      <c r="F161" s="25" t="s">
        <v>17</v>
      </c>
      <c r="G161" s="24" t="s">
        <v>133</v>
      </c>
      <c r="H161" s="22" t="s">
        <v>42</v>
      </c>
      <c r="I161" s="22" t="n">
        <v>4</v>
      </c>
      <c r="J161" s="22" t="n">
        <v>1</v>
      </c>
      <c r="K161" s="22" t="s">
        <v>124</v>
      </c>
      <c r="L161" s="22"/>
      <c r="M161" s="22"/>
      <c r="N161" s="24"/>
    </row>
    <row r="162" customFormat="false" ht="23.85" hidden="false" customHeight="false" outlineLevel="0" collapsed="false">
      <c r="A162" s="22" t="s">
        <v>61</v>
      </c>
      <c r="B162" s="22" t="s">
        <v>552</v>
      </c>
      <c r="C162" s="22" t="s">
        <v>553</v>
      </c>
      <c r="D162" s="22" t="s">
        <v>554</v>
      </c>
      <c r="E162" s="22"/>
      <c r="F162" s="26" t="s">
        <v>23</v>
      </c>
      <c r="G162" s="24" t="s">
        <v>149</v>
      </c>
      <c r="H162" s="22" t="s">
        <v>44</v>
      </c>
      <c r="I162" s="22" t="n">
        <v>4</v>
      </c>
      <c r="J162" s="22" t="n">
        <v>5</v>
      </c>
      <c r="K162" s="22" t="s">
        <v>124</v>
      </c>
      <c r="L162" s="22"/>
      <c r="M162" s="22"/>
      <c r="N162" s="24"/>
    </row>
    <row r="163" customFormat="false" ht="35.05" hidden="false" customHeight="false" outlineLevel="0" collapsed="false">
      <c r="A163" s="22" t="s">
        <v>61</v>
      </c>
      <c r="B163" s="22" t="s">
        <v>555</v>
      </c>
      <c r="C163" s="22" t="s">
        <v>556</v>
      </c>
      <c r="D163" s="22" t="s">
        <v>557</v>
      </c>
      <c r="E163" s="22"/>
      <c r="F163" s="25" t="s">
        <v>17</v>
      </c>
      <c r="G163" s="24" t="s">
        <v>137</v>
      </c>
      <c r="H163" s="22" t="s">
        <v>42</v>
      </c>
      <c r="I163" s="22" t="n">
        <v>4</v>
      </c>
      <c r="J163" s="22" t="n">
        <v>1</v>
      </c>
      <c r="K163" s="22" t="s">
        <v>124</v>
      </c>
      <c r="L163" s="22"/>
      <c r="M163" s="22"/>
      <c r="N163" s="24"/>
    </row>
    <row r="164" customFormat="false" ht="35.05" hidden="false" customHeight="false" outlineLevel="0" collapsed="false">
      <c r="A164" s="22" t="s">
        <v>61</v>
      </c>
      <c r="B164" s="22" t="s">
        <v>558</v>
      </c>
      <c r="C164" s="22" t="s">
        <v>559</v>
      </c>
      <c r="D164" s="22" t="s">
        <v>560</v>
      </c>
      <c r="E164" s="22"/>
      <c r="F164" s="25" t="s">
        <v>17</v>
      </c>
      <c r="G164" s="24" t="s">
        <v>137</v>
      </c>
      <c r="H164" s="22" t="s">
        <v>42</v>
      </c>
      <c r="I164" s="22" t="n">
        <v>4</v>
      </c>
      <c r="J164" s="22" t="n">
        <v>1</v>
      </c>
      <c r="K164" s="22" t="s">
        <v>124</v>
      </c>
      <c r="L164" s="22"/>
      <c r="M164" s="22"/>
      <c r="N164" s="24"/>
    </row>
    <row r="165" customFormat="false" ht="15" hidden="false" customHeight="false" outlineLevel="0" collapsed="false">
      <c r="A165" s="22" t="s">
        <v>63</v>
      </c>
      <c r="B165" s="22" t="s">
        <v>561</v>
      </c>
      <c r="C165" s="22" t="s">
        <v>562</v>
      </c>
      <c r="D165" s="22" t="s">
        <v>563</v>
      </c>
      <c r="E165" s="22"/>
      <c r="F165" s="23" t="s">
        <v>15</v>
      </c>
      <c r="G165" s="24" t="s">
        <v>123</v>
      </c>
      <c r="H165" s="22" t="s">
        <v>41</v>
      </c>
      <c r="I165" s="22" t="n">
        <v>5</v>
      </c>
      <c r="J165" s="22" t="n">
        <v>4</v>
      </c>
      <c r="K165" s="22" t="s">
        <v>124</v>
      </c>
      <c r="L165" s="22"/>
      <c r="M165" s="22"/>
      <c r="N165" s="24"/>
    </row>
    <row r="166" customFormat="false" ht="15" hidden="false" customHeight="false" outlineLevel="0" collapsed="false">
      <c r="A166" s="22" t="s">
        <v>63</v>
      </c>
      <c r="B166" s="22" t="s">
        <v>564</v>
      </c>
      <c r="C166" s="22" t="s">
        <v>565</v>
      </c>
      <c r="D166" s="22" t="s">
        <v>566</v>
      </c>
      <c r="E166" s="22"/>
      <c r="F166" s="23" t="s">
        <v>15</v>
      </c>
      <c r="G166" s="24" t="s">
        <v>123</v>
      </c>
      <c r="H166" s="22" t="s">
        <v>41</v>
      </c>
      <c r="I166" s="22" t="n">
        <v>5</v>
      </c>
      <c r="J166" s="22" t="n">
        <v>1</v>
      </c>
      <c r="K166" s="22" t="s">
        <v>124</v>
      </c>
      <c r="L166" s="22"/>
      <c r="M166" s="22"/>
      <c r="N166" s="24"/>
    </row>
    <row r="167" customFormat="false" ht="35.05" hidden="false" customHeight="false" outlineLevel="0" collapsed="false">
      <c r="A167" s="22" t="s">
        <v>63</v>
      </c>
      <c r="B167" s="22" t="s">
        <v>567</v>
      </c>
      <c r="C167" s="22" t="s">
        <v>568</v>
      </c>
      <c r="D167" s="22" t="s">
        <v>569</v>
      </c>
      <c r="E167" s="22"/>
      <c r="F167" s="25" t="s">
        <v>17</v>
      </c>
      <c r="G167" s="24" t="s">
        <v>137</v>
      </c>
      <c r="H167" s="22" t="s">
        <v>42</v>
      </c>
      <c r="I167" s="22" t="n">
        <v>5</v>
      </c>
      <c r="J167" s="22" t="n">
        <v>1</v>
      </c>
      <c r="K167" s="22" t="s">
        <v>124</v>
      </c>
      <c r="L167" s="22"/>
      <c r="M167" s="22"/>
      <c r="N167" s="24"/>
    </row>
    <row r="168" customFormat="false" ht="35.05" hidden="false" customHeight="false" outlineLevel="0" collapsed="false">
      <c r="A168" s="22" t="s">
        <v>63</v>
      </c>
      <c r="B168" s="22" t="s">
        <v>570</v>
      </c>
      <c r="C168" s="22" t="s">
        <v>571</v>
      </c>
      <c r="D168" s="22" t="s">
        <v>572</v>
      </c>
      <c r="E168" s="22"/>
      <c r="F168" s="25" t="s">
        <v>17</v>
      </c>
      <c r="G168" s="24" t="s">
        <v>137</v>
      </c>
      <c r="H168" s="22" t="s">
        <v>42</v>
      </c>
      <c r="I168" s="22" t="n">
        <v>5</v>
      </c>
      <c r="J168" s="22" t="n">
        <v>1</v>
      </c>
      <c r="K168" s="22" t="s">
        <v>124</v>
      </c>
      <c r="L168" s="22"/>
      <c r="M168" s="22"/>
      <c r="N168" s="24"/>
    </row>
    <row r="169" customFormat="false" ht="35.05" hidden="false" customHeight="false" outlineLevel="0" collapsed="false">
      <c r="A169" s="22" t="s">
        <v>63</v>
      </c>
      <c r="B169" s="22" t="s">
        <v>573</v>
      </c>
      <c r="C169" s="22" t="s">
        <v>574</v>
      </c>
      <c r="D169" s="22" t="s">
        <v>575</v>
      </c>
      <c r="E169" s="22"/>
      <c r="F169" s="25" t="s">
        <v>17</v>
      </c>
      <c r="G169" s="24" t="s">
        <v>137</v>
      </c>
      <c r="H169" s="22" t="s">
        <v>42</v>
      </c>
      <c r="I169" s="22" t="n">
        <v>5</v>
      </c>
      <c r="J169" s="22" t="n">
        <v>1</v>
      </c>
      <c r="K169" s="22" t="s">
        <v>124</v>
      </c>
      <c r="L169" s="22"/>
      <c r="M169" s="22"/>
      <c r="N169" s="24"/>
    </row>
    <row r="170" customFormat="false" ht="35.05" hidden="false" customHeight="false" outlineLevel="0" collapsed="false">
      <c r="A170" s="22" t="s">
        <v>63</v>
      </c>
      <c r="B170" s="22" t="s">
        <v>576</v>
      </c>
      <c r="C170" s="22" t="s">
        <v>577</v>
      </c>
      <c r="D170" s="22" t="s">
        <v>578</v>
      </c>
      <c r="E170" s="22"/>
      <c r="F170" s="25" t="s">
        <v>17</v>
      </c>
      <c r="G170" s="24" t="s">
        <v>137</v>
      </c>
      <c r="H170" s="22" t="s">
        <v>42</v>
      </c>
      <c r="I170" s="22" t="n">
        <v>5</v>
      </c>
      <c r="J170" s="22" t="n">
        <v>1</v>
      </c>
      <c r="K170" s="22" t="s">
        <v>124</v>
      </c>
      <c r="L170" s="22"/>
      <c r="M170" s="22"/>
      <c r="N170" s="24"/>
    </row>
    <row r="171" customFormat="false" ht="35.05" hidden="false" customHeight="false" outlineLevel="0" collapsed="false">
      <c r="A171" s="22" t="s">
        <v>63</v>
      </c>
      <c r="B171" s="22" t="s">
        <v>579</v>
      </c>
      <c r="C171" s="22" t="s">
        <v>580</v>
      </c>
      <c r="D171" s="22" t="s">
        <v>581</v>
      </c>
      <c r="E171" s="22"/>
      <c r="F171" s="25" t="s">
        <v>17</v>
      </c>
      <c r="G171" s="24" t="s">
        <v>137</v>
      </c>
      <c r="H171" s="22" t="s">
        <v>42</v>
      </c>
      <c r="I171" s="22" t="n">
        <v>5</v>
      </c>
      <c r="J171" s="22" t="n">
        <v>1</v>
      </c>
      <c r="K171" s="22" t="s">
        <v>124</v>
      </c>
      <c r="L171" s="22"/>
      <c r="M171" s="22"/>
      <c r="N171" s="24"/>
    </row>
    <row r="172" customFormat="false" ht="35.05" hidden="false" customHeight="false" outlineLevel="0" collapsed="false">
      <c r="A172" s="22" t="s">
        <v>63</v>
      </c>
      <c r="B172" s="22" t="s">
        <v>582</v>
      </c>
      <c r="C172" s="22" t="s">
        <v>583</v>
      </c>
      <c r="D172" s="22" t="s">
        <v>584</v>
      </c>
      <c r="E172" s="22"/>
      <c r="F172" s="25" t="s">
        <v>17</v>
      </c>
      <c r="G172" s="24" t="s">
        <v>137</v>
      </c>
      <c r="H172" s="22" t="s">
        <v>42</v>
      </c>
      <c r="I172" s="22" t="n">
        <v>5</v>
      </c>
      <c r="J172" s="22" t="n">
        <v>1</v>
      </c>
      <c r="K172" s="22" t="s">
        <v>124</v>
      </c>
      <c r="L172" s="22"/>
      <c r="M172" s="22"/>
      <c r="N172" s="24"/>
    </row>
    <row r="173" customFormat="false" ht="35.05" hidden="false" customHeight="false" outlineLevel="0" collapsed="false">
      <c r="A173" s="22" t="s">
        <v>63</v>
      </c>
      <c r="B173" s="22" t="s">
        <v>585</v>
      </c>
      <c r="C173" s="22" t="s">
        <v>586</v>
      </c>
      <c r="D173" s="22" t="s">
        <v>587</v>
      </c>
      <c r="E173" s="22"/>
      <c r="F173" s="25" t="s">
        <v>17</v>
      </c>
      <c r="G173" s="24" t="s">
        <v>137</v>
      </c>
      <c r="H173" s="22" t="s">
        <v>42</v>
      </c>
      <c r="I173" s="22" t="n">
        <v>5</v>
      </c>
      <c r="J173" s="22" t="n">
        <v>1</v>
      </c>
      <c r="K173" s="22" t="s">
        <v>124</v>
      </c>
      <c r="L173" s="22"/>
      <c r="M173" s="22"/>
      <c r="N173" s="24"/>
    </row>
    <row r="174" customFormat="false" ht="35.05" hidden="false" customHeight="false" outlineLevel="0" collapsed="false">
      <c r="A174" s="22" t="s">
        <v>63</v>
      </c>
      <c r="B174" s="22" t="s">
        <v>588</v>
      </c>
      <c r="C174" s="22" t="s">
        <v>589</v>
      </c>
      <c r="D174" s="22" t="s">
        <v>590</v>
      </c>
      <c r="E174" s="22"/>
      <c r="F174" s="25" t="s">
        <v>17</v>
      </c>
      <c r="G174" s="24" t="s">
        <v>133</v>
      </c>
      <c r="H174" s="22" t="s">
        <v>42</v>
      </c>
      <c r="I174" s="22" t="n">
        <v>5</v>
      </c>
      <c r="J174" s="22" t="n">
        <v>1</v>
      </c>
      <c r="K174" s="22" t="s">
        <v>124</v>
      </c>
      <c r="L174" s="22"/>
      <c r="M174" s="22"/>
      <c r="N174" s="24"/>
    </row>
    <row r="175" customFormat="false" ht="15" hidden="false" customHeight="false" outlineLevel="0" collapsed="false">
      <c r="A175" s="22" t="s">
        <v>63</v>
      </c>
      <c r="B175" s="22" t="s">
        <v>591</v>
      </c>
      <c r="C175" s="22" t="s">
        <v>592</v>
      </c>
      <c r="D175" s="22" t="s">
        <v>593</v>
      </c>
      <c r="E175" s="22"/>
      <c r="F175" s="23" t="s">
        <v>15</v>
      </c>
      <c r="G175" s="24" t="s">
        <v>123</v>
      </c>
      <c r="H175" s="22" t="s">
        <v>41</v>
      </c>
      <c r="I175" s="22" t="n">
        <v>5</v>
      </c>
      <c r="J175" s="22" t="n">
        <v>9</v>
      </c>
      <c r="K175" s="22" t="s">
        <v>124</v>
      </c>
      <c r="L175" s="22"/>
      <c r="M175" s="22"/>
      <c r="N175" s="24"/>
    </row>
    <row r="176" customFormat="false" ht="35.05" hidden="false" customHeight="false" outlineLevel="0" collapsed="false">
      <c r="A176" s="22" t="s">
        <v>63</v>
      </c>
      <c r="B176" s="22" t="s">
        <v>594</v>
      </c>
      <c r="C176" s="22" t="s">
        <v>595</v>
      </c>
      <c r="D176" s="22" t="s">
        <v>596</v>
      </c>
      <c r="E176" s="22"/>
      <c r="F176" s="25" t="s">
        <v>17</v>
      </c>
      <c r="G176" s="24" t="s">
        <v>137</v>
      </c>
      <c r="H176" s="22" t="s">
        <v>42</v>
      </c>
      <c r="I176" s="22" t="n">
        <v>5</v>
      </c>
      <c r="J176" s="22" t="n">
        <v>1</v>
      </c>
      <c r="K176" s="22" t="s">
        <v>124</v>
      </c>
      <c r="L176" s="22"/>
      <c r="M176" s="22"/>
      <c r="N176" s="24"/>
    </row>
    <row r="177" customFormat="false" ht="35.05" hidden="false" customHeight="false" outlineLevel="0" collapsed="false">
      <c r="A177" s="22" t="s">
        <v>63</v>
      </c>
      <c r="B177" s="22" t="s">
        <v>597</v>
      </c>
      <c r="C177" s="22" t="s">
        <v>598</v>
      </c>
      <c r="D177" s="22" t="s">
        <v>599</v>
      </c>
      <c r="E177" s="22"/>
      <c r="F177" s="25" t="s">
        <v>17</v>
      </c>
      <c r="G177" s="24" t="s">
        <v>137</v>
      </c>
      <c r="H177" s="22" t="s">
        <v>42</v>
      </c>
      <c r="I177" s="22" t="n">
        <v>5</v>
      </c>
      <c r="J177" s="22" t="n">
        <v>1</v>
      </c>
      <c r="K177" s="22" t="s">
        <v>124</v>
      </c>
      <c r="L177" s="22"/>
      <c r="M177" s="22"/>
      <c r="N177" s="24"/>
    </row>
    <row r="178" customFormat="false" ht="35.05" hidden="false" customHeight="false" outlineLevel="0" collapsed="false">
      <c r="A178" s="22" t="s">
        <v>63</v>
      </c>
      <c r="B178" s="22" t="s">
        <v>600</v>
      </c>
      <c r="C178" s="22" t="s">
        <v>601</v>
      </c>
      <c r="D178" s="22" t="s">
        <v>602</v>
      </c>
      <c r="E178" s="22"/>
      <c r="F178" s="25" t="s">
        <v>17</v>
      </c>
      <c r="G178" s="24" t="s">
        <v>137</v>
      </c>
      <c r="H178" s="22" t="s">
        <v>42</v>
      </c>
      <c r="I178" s="22" t="n">
        <v>5</v>
      </c>
      <c r="J178" s="22" t="n">
        <v>1</v>
      </c>
      <c r="K178" s="22" t="s">
        <v>124</v>
      </c>
      <c r="L178" s="22"/>
      <c r="M178" s="22"/>
      <c r="N178" s="24"/>
    </row>
    <row r="179" customFormat="false" ht="35.05" hidden="false" customHeight="false" outlineLevel="0" collapsed="false">
      <c r="A179" s="22" t="s">
        <v>63</v>
      </c>
      <c r="B179" s="22" t="s">
        <v>603</v>
      </c>
      <c r="C179" s="22" t="s">
        <v>604</v>
      </c>
      <c r="D179" s="22" t="s">
        <v>605</v>
      </c>
      <c r="E179" s="22"/>
      <c r="F179" s="25" t="s">
        <v>17</v>
      </c>
      <c r="G179" s="24" t="s">
        <v>137</v>
      </c>
      <c r="H179" s="22" t="s">
        <v>42</v>
      </c>
      <c r="I179" s="22" t="n">
        <v>5</v>
      </c>
      <c r="J179" s="22" t="n">
        <v>1</v>
      </c>
      <c r="K179" s="22" t="s">
        <v>124</v>
      </c>
      <c r="L179" s="22"/>
      <c r="M179" s="22"/>
      <c r="N179" s="24"/>
    </row>
    <row r="180" customFormat="false" ht="35.05" hidden="false" customHeight="false" outlineLevel="0" collapsed="false">
      <c r="A180" s="22" t="s">
        <v>63</v>
      </c>
      <c r="B180" s="22" t="s">
        <v>606</v>
      </c>
      <c r="C180" s="22" t="s">
        <v>607</v>
      </c>
      <c r="D180" s="22" t="s">
        <v>608</v>
      </c>
      <c r="E180" s="22"/>
      <c r="F180" s="25" t="s">
        <v>17</v>
      </c>
      <c r="G180" s="24" t="s">
        <v>137</v>
      </c>
      <c r="H180" s="22" t="s">
        <v>42</v>
      </c>
      <c r="I180" s="22" t="n">
        <v>5</v>
      </c>
      <c r="J180" s="22" t="n">
        <v>1</v>
      </c>
      <c r="K180" s="22" t="s">
        <v>124</v>
      </c>
      <c r="L180" s="22"/>
      <c r="M180" s="22"/>
      <c r="N180" s="24"/>
    </row>
    <row r="181" customFormat="false" ht="35.05" hidden="false" customHeight="false" outlineLevel="0" collapsed="false">
      <c r="A181" s="22" t="s">
        <v>63</v>
      </c>
      <c r="B181" s="22" t="s">
        <v>609</v>
      </c>
      <c r="C181" s="22" t="s">
        <v>610</v>
      </c>
      <c r="D181" s="22" t="s">
        <v>611</v>
      </c>
      <c r="E181" s="22"/>
      <c r="F181" s="25" t="s">
        <v>17</v>
      </c>
      <c r="G181" s="24" t="s">
        <v>137</v>
      </c>
      <c r="H181" s="22" t="s">
        <v>42</v>
      </c>
      <c r="I181" s="22" t="n">
        <v>5</v>
      </c>
      <c r="J181" s="22" t="n">
        <v>1</v>
      </c>
      <c r="K181" s="22" t="s">
        <v>124</v>
      </c>
      <c r="L181" s="22"/>
      <c r="M181" s="22"/>
      <c r="N181" s="24"/>
    </row>
    <row r="182" customFormat="false" ht="35.05" hidden="false" customHeight="false" outlineLevel="0" collapsed="false">
      <c r="A182" s="22" t="s">
        <v>63</v>
      </c>
      <c r="B182" s="22" t="s">
        <v>612</v>
      </c>
      <c r="C182" s="22" t="s">
        <v>613</v>
      </c>
      <c r="D182" s="22" t="s">
        <v>614</v>
      </c>
      <c r="E182" s="22"/>
      <c r="F182" s="25" t="s">
        <v>17</v>
      </c>
      <c r="G182" s="24" t="s">
        <v>137</v>
      </c>
      <c r="H182" s="22" t="s">
        <v>42</v>
      </c>
      <c r="I182" s="22" t="n">
        <v>5</v>
      </c>
      <c r="J182" s="22" t="n">
        <v>1</v>
      </c>
      <c r="K182" s="22" t="s">
        <v>124</v>
      </c>
      <c r="L182" s="22"/>
      <c r="M182" s="22"/>
      <c r="N182" s="24"/>
    </row>
    <row r="183" customFormat="false" ht="35.05" hidden="false" customHeight="false" outlineLevel="0" collapsed="false">
      <c r="A183" s="22" t="s">
        <v>63</v>
      </c>
      <c r="B183" s="22" t="s">
        <v>615</v>
      </c>
      <c r="C183" s="22" t="s">
        <v>616</v>
      </c>
      <c r="D183" s="22" t="s">
        <v>617</v>
      </c>
      <c r="E183" s="22"/>
      <c r="F183" s="25" t="s">
        <v>17</v>
      </c>
      <c r="G183" s="24" t="s">
        <v>137</v>
      </c>
      <c r="H183" s="22" t="s">
        <v>42</v>
      </c>
      <c r="I183" s="22" t="n">
        <v>5</v>
      </c>
      <c r="J183" s="22" t="n">
        <v>1</v>
      </c>
      <c r="K183" s="22" t="s">
        <v>124</v>
      </c>
      <c r="L183" s="22"/>
      <c r="M183" s="22"/>
      <c r="N183" s="24"/>
    </row>
    <row r="184" customFormat="false" ht="35.05" hidden="false" customHeight="false" outlineLevel="0" collapsed="false">
      <c r="A184" s="22" t="s">
        <v>63</v>
      </c>
      <c r="B184" s="22" t="s">
        <v>618</v>
      </c>
      <c r="C184" s="22" t="s">
        <v>619</v>
      </c>
      <c r="D184" s="22" t="s">
        <v>620</v>
      </c>
      <c r="E184" s="22"/>
      <c r="F184" s="25" t="s">
        <v>17</v>
      </c>
      <c r="G184" s="24" t="s">
        <v>133</v>
      </c>
      <c r="H184" s="22" t="s">
        <v>42</v>
      </c>
      <c r="I184" s="22" t="n">
        <v>5</v>
      </c>
      <c r="J184" s="22" t="n">
        <v>1</v>
      </c>
      <c r="K184" s="22" t="s">
        <v>124</v>
      </c>
      <c r="L184" s="22"/>
      <c r="M184" s="22"/>
      <c r="N184" s="24"/>
    </row>
    <row r="185" customFormat="false" ht="35.05" hidden="false" customHeight="false" outlineLevel="0" collapsed="false">
      <c r="A185" s="22" t="s">
        <v>63</v>
      </c>
      <c r="B185" s="22" t="s">
        <v>621</v>
      </c>
      <c r="C185" s="22" t="s">
        <v>622</v>
      </c>
      <c r="D185" s="22" t="s">
        <v>623</v>
      </c>
      <c r="E185" s="22"/>
      <c r="F185" s="25" t="s">
        <v>17</v>
      </c>
      <c r="G185" s="24" t="s">
        <v>137</v>
      </c>
      <c r="H185" s="22" t="s">
        <v>42</v>
      </c>
      <c r="I185" s="22" t="n">
        <v>5</v>
      </c>
      <c r="J185" s="22" t="n">
        <v>1</v>
      </c>
      <c r="K185" s="22" t="s">
        <v>124</v>
      </c>
      <c r="L185" s="22"/>
      <c r="M185" s="22"/>
      <c r="N185" s="24"/>
    </row>
    <row r="186" customFormat="false" ht="35.05" hidden="false" customHeight="false" outlineLevel="0" collapsed="false">
      <c r="A186" s="22" t="s">
        <v>63</v>
      </c>
      <c r="B186" s="22" t="s">
        <v>624</v>
      </c>
      <c r="C186" s="22" t="s">
        <v>625</v>
      </c>
      <c r="D186" s="22" t="s">
        <v>626</v>
      </c>
      <c r="E186" s="22"/>
      <c r="F186" s="25" t="s">
        <v>17</v>
      </c>
      <c r="G186" s="24" t="s">
        <v>137</v>
      </c>
      <c r="H186" s="22" t="s">
        <v>42</v>
      </c>
      <c r="I186" s="22" t="n">
        <v>5</v>
      </c>
      <c r="J186" s="22" t="n">
        <v>1</v>
      </c>
      <c r="K186" s="22" t="s">
        <v>124</v>
      </c>
      <c r="L186" s="22"/>
      <c r="M186" s="22"/>
      <c r="N186" s="24"/>
    </row>
    <row r="187" customFormat="false" ht="15" hidden="false" customHeight="false" outlineLevel="0" collapsed="false">
      <c r="A187" s="22" t="s">
        <v>63</v>
      </c>
      <c r="B187" s="22" t="s">
        <v>627</v>
      </c>
      <c r="C187" s="22" t="s">
        <v>628</v>
      </c>
      <c r="D187" s="22" t="s">
        <v>629</v>
      </c>
      <c r="E187" s="22"/>
      <c r="F187" s="23" t="s">
        <v>15</v>
      </c>
      <c r="G187" s="24" t="s">
        <v>123</v>
      </c>
      <c r="H187" s="22" t="s">
        <v>41</v>
      </c>
      <c r="I187" s="22" t="n">
        <v>5</v>
      </c>
      <c r="J187" s="22" t="n">
        <v>9</v>
      </c>
      <c r="K187" s="22" t="s">
        <v>124</v>
      </c>
      <c r="L187" s="22"/>
      <c r="M187" s="22"/>
      <c r="N187" s="24"/>
    </row>
    <row r="188" customFormat="false" ht="35.05" hidden="false" customHeight="false" outlineLevel="0" collapsed="false">
      <c r="A188" s="22" t="s">
        <v>63</v>
      </c>
      <c r="B188" s="22" t="s">
        <v>630</v>
      </c>
      <c r="C188" s="22" t="s">
        <v>631</v>
      </c>
      <c r="D188" s="22" t="s">
        <v>632</v>
      </c>
      <c r="E188" s="22"/>
      <c r="F188" s="25" t="s">
        <v>17</v>
      </c>
      <c r="G188" s="24" t="s">
        <v>133</v>
      </c>
      <c r="H188" s="22" t="s">
        <v>42</v>
      </c>
      <c r="I188" s="22" t="n">
        <v>5</v>
      </c>
      <c r="J188" s="22" t="n">
        <v>1</v>
      </c>
      <c r="K188" s="22" t="s">
        <v>124</v>
      </c>
      <c r="L188" s="22"/>
      <c r="M188" s="22"/>
      <c r="N188" s="24"/>
    </row>
    <row r="189" customFormat="false" ht="23.85" hidden="false" customHeight="false" outlineLevel="0" collapsed="false">
      <c r="A189" s="22" t="s">
        <v>63</v>
      </c>
      <c r="B189" s="22" t="s">
        <v>633</v>
      </c>
      <c r="C189" s="22" t="s">
        <v>634</v>
      </c>
      <c r="D189" s="22" t="s">
        <v>434</v>
      </c>
      <c r="E189" s="22"/>
      <c r="F189" s="26" t="s">
        <v>23</v>
      </c>
      <c r="G189" s="24" t="s">
        <v>149</v>
      </c>
      <c r="H189" s="22" t="s">
        <v>44</v>
      </c>
      <c r="I189" s="22" t="n">
        <v>5</v>
      </c>
      <c r="J189" s="22" t="n">
        <v>5</v>
      </c>
      <c r="K189" s="22" t="s">
        <v>124</v>
      </c>
      <c r="L189" s="22"/>
      <c r="M189" s="22"/>
      <c r="N189" s="24"/>
    </row>
    <row r="190" customFormat="false" ht="35.05" hidden="false" customHeight="false" outlineLevel="0" collapsed="false">
      <c r="A190" s="22" t="s">
        <v>63</v>
      </c>
      <c r="B190" s="22" t="s">
        <v>635</v>
      </c>
      <c r="C190" s="22" t="s">
        <v>636</v>
      </c>
      <c r="D190" s="22" t="s">
        <v>637</v>
      </c>
      <c r="E190" s="22"/>
      <c r="F190" s="25" t="s">
        <v>17</v>
      </c>
      <c r="G190" s="24" t="s">
        <v>133</v>
      </c>
      <c r="H190" s="22" t="s">
        <v>42</v>
      </c>
      <c r="I190" s="22" t="n">
        <v>5</v>
      </c>
      <c r="J190" s="22" t="n">
        <v>1</v>
      </c>
      <c r="K190" s="22" t="s">
        <v>124</v>
      </c>
      <c r="L190" s="22"/>
      <c r="M190" s="22"/>
      <c r="N190" s="24"/>
    </row>
    <row r="191" customFormat="false" ht="35.05" hidden="false" customHeight="false" outlineLevel="0" collapsed="false">
      <c r="A191" s="22" t="s">
        <v>63</v>
      </c>
      <c r="B191" s="22" t="s">
        <v>638</v>
      </c>
      <c r="C191" s="22" t="s">
        <v>639</v>
      </c>
      <c r="D191" s="22" t="s">
        <v>640</v>
      </c>
      <c r="E191" s="22"/>
      <c r="F191" s="25" t="s">
        <v>17</v>
      </c>
      <c r="G191" s="24" t="s">
        <v>137</v>
      </c>
      <c r="H191" s="22" t="s">
        <v>42</v>
      </c>
      <c r="I191" s="22" t="n">
        <v>5</v>
      </c>
      <c r="J191" s="22" t="n">
        <v>1</v>
      </c>
      <c r="K191" s="22" t="s">
        <v>124</v>
      </c>
      <c r="L191" s="22"/>
      <c r="M191" s="22"/>
      <c r="N191" s="24"/>
    </row>
    <row r="192" customFormat="false" ht="35.05" hidden="false" customHeight="false" outlineLevel="0" collapsed="false">
      <c r="A192" s="22" t="s">
        <v>63</v>
      </c>
      <c r="B192" s="22" t="s">
        <v>641</v>
      </c>
      <c r="C192" s="22" t="s">
        <v>642</v>
      </c>
      <c r="D192" s="22" t="s">
        <v>643</v>
      </c>
      <c r="E192" s="22"/>
      <c r="F192" s="25" t="s">
        <v>17</v>
      </c>
      <c r="G192" s="24" t="s">
        <v>137</v>
      </c>
      <c r="H192" s="22" t="s">
        <v>42</v>
      </c>
      <c r="I192" s="22" t="n">
        <v>5</v>
      </c>
      <c r="J192" s="22" t="n">
        <v>1</v>
      </c>
      <c r="K192" s="22" t="s">
        <v>124</v>
      </c>
      <c r="L192" s="22"/>
      <c r="M192" s="22"/>
      <c r="N192" s="24"/>
    </row>
    <row r="193" customFormat="false" ht="35.05" hidden="false" customHeight="false" outlineLevel="0" collapsed="false">
      <c r="A193" s="22" t="s">
        <v>63</v>
      </c>
      <c r="B193" s="22" t="s">
        <v>644</v>
      </c>
      <c r="C193" s="22" t="s">
        <v>645</v>
      </c>
      <c r="D193" s="22" t="s">
        <v>646</v>
      </c>
      <c r="E193" s="22"/>
      <c r="F193" s="25" t="s">
        <v>17</v>
      </c>
      <c r="G193" s="24" t="s">
        <v>137</v>
      </c>
      <c r="H193" s="22" t="s">
        <v>42</v>
      </c>
      <c r="I193" s="22" t="n">
        <v>5</v>
      </c>
      <c r="J193" s="22" t="n">
        <v>1</v>
      </c>
      <c r="K193" s="22" t="s">
        <v>124</v>
      </c>
      <c r="L193" s="22"/>
      <c r="M193" s="22"/>
      <c r="N193" s="24"/>
    </row>
    <row r="194" customFormat="false" ht="35.05" hidden="false" customHeight="false" outlineLevel="0" collapsed="false">
      <c r="A194" s="22" t="s">
        <v>63</v>
      </c>
      <c r="B194" s="22" t="s">
        <v>647</v>
      </c>
      <c r="C194" s="22" t="s">
        <v>648</v>
      </c>
      <c r="D194" s="22" t="s">
        <v>649</v>
      </c>
      <c r="E194" s="22"/>
      <c r="F194" s="25" t="s">
        <v>17</v>
      </c>
      <c r="G194" s="24" t="s">
        <v>133</v>
      </c>
      <c r="H194" s="22" t="s">
        <v>42</v>
      </c>
      <c r="I194" s="22" t="n">
        <v>5</v>
      </c>
      <c r="J194" s="22" t="n">
        <v>1</v>
      </c>
      <c r="K194" s="22" t="s">
        <v>124</v>
      </c>
      <c r="L194" s="22"/>
      <c r="M194" s="22"/>
      <c r="N194" s="24"/>
    </row>
    <row r="195" customFormat="false" ht="35.05" hidden="false" customHeight="false" outlineLevel="0" collapsed="false">
      <c r="A195" s="22" t="s">
        <v>63</v>
      </c>
      <c r="B195" s="22" t="s">
        <v>650</v>
      </c>
      <c r="C195" s="22" t="s">
        <v>651</v>
      </c>
      <c r="D195" s="22" t="s">
        <v>652</v>
      </c>
      <c r="E195" s="22"/>
      <c r="F195" s="25" t="s">
        <v>17</v>
      </c>
      <c r="G195" s="24" t="s">
        <v>137</v>
      </c>
      <c r="H195" s="22" t="s">
        <v>42</v>
      </c>
      <c r="I195" s="22" t="n">
        <v>5</v>
      </c>
      <c r="J195" s="22" t="n">
        <v>1</v>
      </c>
      <c r="K195" s="22" t="s">
        <v>124</v>
      </c>
      <c r="L195" s="22"/>
      <c r="M195" s="22"/>
      <c r="N195" s="24"/>
    </row>
    <row r="196" customFormat="false" ht="35.05" hidden="false" customHeight="false" outlineLevel="0" collapsed="false">
      <c r="A196" s="22" t="s">
        <v>63</v>
      </c>
      <c r="B196" s="22" t="s">
        <v>653</v>
      </c>
      <c r="C196" s="22" t="s">
        <v>654</v>
      </c>
      <c r="D196" s="22" t="s">
        <v>655</v>
      </c>
      <c r="E196" s="22"/>
      <c r="F196" s="25" t="s">
        <v>17</v>
      </c>
      <c r="G196" s="24" t="s">
        <v>133</v>
      </c>
      <c r="H196" s="22" t="s">
        <v>42</v>
      </c>
      <c r="I196" s="22" t="n">
        <v>5</v>
      </c>
      <c r="J196" s="22" t="n">
        <v>1</v>
      </c>
      <c r="K196" s="22" t="s">
        <v>124</v>
      </c>
      <c r="L196" s="22"/>
      <c r="M196" s="22"/>
      <c r="N196" s="24"/>
    </row>
    <row r="197" customFormat="false" ht="35.05" hidden="false" customHeight="false" outlineLevel="0" collapsed="false">
      <c r="A197" s="22" t="s">
        <v>63</v>
      </c>
      <c r="B197" s="22" t="s">
        <v>656</v>
      </c>
      <c r="C197" s="22" t="s">
        <v>657</v>
      </c>
      <c r="D197" s="22" t="s">
        <v>658</v>
      </c>
      <c r="E197" s="22"/>
      <c r="F197" s="25" t="s">
        <v>17</v>
      </c>
      <c r="G197" s="24" t="s">
        <v>133</v>
      </c>
      <c r="H197" s="22" t="s">
        <v>42</v>
      </c>
      <c r="I197" s="22" t="n">
        <v>5</v>
      </c>
      <c r="J197" s="22" t="n">
        <v>1</v>
      </c>
      <c r="K197" s="22" t="s">
        <v>124</v>
      </c>
      <c r="L197" s="22"/>
      <c r="M197" s="22"/>
      <c r="N197" s="24"/>
    </row>
    <row r="198" customFormat="false" ht="15" hidden="false" customHeight="false" outlineLevel="0" collapsed="false">
      <c r="A198" s="22" t="s">
        <v>63</v>
      </c>
      <c r="B198" s="22" t="s">
        <v>659</v>
      </c>
      <c r="C198" s="22" t="s">
        <v>660</v>
      </c>
      <c r="D198" s="22" t="s">
        <v>168</v>
      </c>
      <c r="E198" s="22"/>
      <c r="F198" s="23" t="s">
        <v>15</v>
      </c>
      <c r="G198" s="24" t="s">
        <v>123</v>
      </c>
      <c r="H198" s="22" t="s">
        <v>41</v>
      </c>
      <c r="I198" s="22" t="n">
        <v>5</v>
      </c>
      <c r="J198" s="22" t="n">
        <v>9</v>
      </c>
      <c r="K198" s="22" t="s">
        <v>124</v>
      </c>
      <c r="L198" s="22"/>
      <c r="M198" s="22"/>
      <c r="N198" s="24"/>
    </row>
    <row r="199" customFormat="false" ht="23.85" hidden="false" customHeight="false" outlineLevel="0" collapsed="false">
      <c r="A199" s="22" t="s">
        <v>63</v>
      </c>
      <c r="B199" s="22" t="s">
        <v>661</v>
      </c>
      <c r="C199" s="22" t="s">
        <v>662</v>
      </c>
      <c r="D199" s="22" t="s">
        <v>663</v>
      </c>
      <c r="E199" s="22"/>
      <c r="F199" s="28" t="s">
        <v>21</v>
      </c>
      <c r="G199" s="24" t="s">
        <v>664</v>
      </c>
      <c r="H199" s="22" t="s">
        <v>43</v>
      </c>
      <c r="I199" s="22" t="n">
        <v>5</v>
      </c>
      <c r="J199" s="22" t="n">
        <v>8</v>
      </c>
      <c r="K199" s="22" t="s">
        <v>124</v>
      </c>
      <c r="L199" s="22"/>
      <c r="M199" s="22"/>
      <c r="N199" s="24"/>
    </row>
    <row r="200" customFormat="false" ht="23.85" hidden="false" customHeight="false" outlineLevel="0" collapsed="false">
      <c r="A200" s="22" t="s">
        <v>63</v>
      </c>
      <c r="B200" s="22" t="s">
        <v>665</v>
      </c>
      <c r="C200" s="22" t="s">
        <v>666</v>
      </c>
      <c r="D200" s="22" t="s">
        <v>667</v>
      </c>
      <c r="E200" s="22"/>
      <c r="F200" s="28" t="s">
        <v>21</v>
      </c>
      <c r="G200" s="24" t="s">
        <v>664</v>
      </c>
      <c r="H200" s="22" t="s">
        <v>43</v>
      </c>
      <c r="I200" s="22" t="n">
        <v>5</v>
      </c>
      <c r="J200" s="22" t="n">
        <v>8</v>
      </c>
      <c r="K200" s="22" t="s">
        <v>124</v>
      </c>
      <c r="L200" s="22"/>
      <c r="M200" s="22"/>
      <c r="N200" s="24"/>
    </row>
    <row r="201" customFormat="false" ht="23.85" hidden="false" customHeight="false" outlineLevel="0" collapsed="false">
      <c r="A201" s="22" t="s">
        <v>63</v>
      </c>
      <c r="B201" s="22" t="s">
        <v>668</v>
      </c>
      <c r="C201" s="22" t="s">
        <v>669</v>
      </c>
      <c r="D201" s="22" t="s">
        <v>670</v>
      </c>
      <c r="E201" s="22"/>
      <c r="F201" s="28" t="s">
        <v>21</v>
      </c>
      <c r="G201" s="24" t="s">
        <v>664</v>
      </c>
      <c r="H201" s="22" t="s">
        <v>43</v>
      </c>
      <c r="I201" s="22" t="n">
        <v>5</v>
      </c>
      <c r="J201" s="22" t="n">
        <v>8</v>
      </c>
      <c r="K201" s="22" t="s">
        <v>124</v>
      </c>
      <c r="L201" s="22"/>
      <c r="M201" s="22"/>
      <c r="N201" s="24"/>
    </row>
    <row r="202" customFormat="false" ht="23.85" hidden="false" customHeight="false" outlineLevel="0" collapsed="false">
      <c r="A202" s="22" t="s">
        <v>63</v>
      </c>
      <c r="B202" s="22" t="s">
        <v>671</v>
      </c>
      <c r="C202" s="22" t="s">
        <v>562</v>
      </c>
      <c r="D202" s="22" t="s">
        <v>672</v>
      </c>
      <c r="E202" s="22"/>
      <c r="F202" s="28" t="s">
        <v>21</v>
      </c>
      <c r="G202" s="24" t="s">
        <v>664</v>
      </c>
      <c r="H202" s="22" t="s">
        <v>43</v>
      </c>
      <c r="I202" s="22" t="n">
        <v>5</v>
      </c>
      <c r="J202" s="22" t="n">
        <v>8</v>
      </c>
      <c r="K202" s="22" t="s">
        <v>124</v>
      </c>
      <c r="L202" s="22"/>
      <c r="M202" s="22"/>
      <c r="N202" s="24"/>
    </row>
    <row r="203" customFormat="false" ht="23.85" hidden="false" customHeight="false" outlineLevel="0" collapsed="false">
      <c r="A203" s="22" t="s">
        <v>63</v>
      </c>
      <c r="B203" s="22" t="s">
        <v>673</v>
      </c>
      <c r="C203" s="22" t="s">
        <v>674</v>
      </c>
      <c r="D203" s="22" t="s">
        <v>675</v>
      </c>
      <c r="E203" s="22"/>
      <c r="F203" s="28" t="s">
        <v>21</v>
      </c>
      <c r="G203" s="24" t="s">
        <v>664</v>
      </c>
      <c r="H203" s="22" t="s">
        <v>43</v>
      </c>
      <c r="I203" s="22" t="n">
        <v>5</v>
      </c>
      <c r="J203" s="22" t="n">
        <v>8</v>
      </c>
      <c r="K203" s="22" t="s">
        <v>124</v>
      </c>
      <c r="L203" s="22"/>
      <c r="M203" s="22"/>
      <c r="N203" s="24"/>
    </row>
    <row r="204" customFormat="false" ht="23.85" hidden="false" customHeight="false" outlineLevel="0" collapsed="false">
      <c r="A204" s="22" t="s">
        <v>63</v>
      </c>
      <c r="B204" s="22" t="s">
        <v>676</v>
      </c>
      <c r="C204" s="22" t="s">
        <v>589</v>
      </c>
      <c r="D204" s="22" t="s">
        <v>677</v>
      </c>
      <c r="E204" s="22"/>
      <c r="F204" s="28" t="s">
        <v>21</v>
      </c>
      <c r="G204" s="24" t="s">
        <v>664</v>
      </c>
      <c r="H204" s="22" t="s">
        <v>43</v>
      </c>
      <c r="I204" s="22" t="n">
        <v>5</v>
      </c>
      <c r="J204" s="22" t="n">
        <v>8</v>
      </c>
      <c r="K204" s="22" t="s">
        <v>124</v>
      </c>
      <c r="L204" s="22"/>
      <c r="M204" s="22"/>
      <c r="N204" s="24"/>
    </row>
    <row r="205" customFormat="false" ht="23.85" hidden="false" customHeight="false" outlineLevel="0" collapsed="false">
      <c r="A205" s="22" t="s">
        <v>63</v>
      </c>
      <c r="B205" s="22" t="s">
        <v>678</v>
      </c>
      <c r="C205" s="22" t="s">
        <v>662</v>
      </c>
      <c r="D205" s="22" t="s">
        <v>679</v>
      </c>
      <c r="E205" s="22"/>
      <c r="F205" s="28" t="s">
        <v>21</v>
      </c>
      <c r="G205" s="24" t="s">
        <v>664</v>
      </c>
      <c r="H205" s="22" t="s">
        <v>43</v>
      </c>
      <c r="I205" s="22" t="n">
        <v>5</v>
      </c>
      <c r="J205" s="22" t="n">
        <v>8</v>
      </c>
      <c r="K205" s="22" t="s">
        <v>124</v>
      </c>
      <c r="L205" s="22"/>
      <c r="M205" s="22"/>
      <c r="N205" s="24"/>
    </row>
    <row r="206" customFormat="false" ht="23.85" hidden="false" customHeight="false" outlineLevel="0" collapsed="false">
      <c r="A206" s="22" t="s">
        <v>63</v>
      </c>
      <c r="B206" s="22" t="s">
        <v>680</v>
      </c>
      <c r="C206" s="22" t="s">
        <v>681</v>
      </c>
      <c r="D206" s="22" t="s">
        <v>682</v>
      </c>
      <c r="E206" s="22"/>
      <c r="F206" s="28" t="s">
        <v>21</v>
      </c>
      <c r="G206" s="24" t="s">
        <v>664</v>
      </c>
      <c r="H206" s="22" t="s">
        <v>43</v>
      </c>
      <c r="I206" s="22" t="n">
        <v>5</v>
      </c>
      <c r="J206" s="22" t="n">
        <v>8</v>
      </c>
      <c r="K206" s="22" t="s">
        <v>124</v>
      </c>
      <c r="L206" s="22"/>
      <c r="M206" s="22"/>
      <c r="N206" s="24"/>
    </row>
    <row r="207" customFormat="false" ht="35.05" hidden="false" customHeight="false" outlineLevel="0" collapsed="false">
      <c r="A207" s="22" t="s">
        <v>65</v>
      </c>
      <c r="B207" s="22" t="s">
        <v>683</v>
      </c>
      <c r="C207" s="22" t="s">
        <v>684</v>
      </c>
      <c r="D207" s="22" t="s">
        <v>685</v>
      </c>
      <c r="E207" s="22"/>
      <c r="F207" s="25" t="s">
        <v>17</v>
      </c>
      <c r="G207" s="24" t="s">
        <v>137</v>
      </c>
      <c r="H207" s="22" t="s">
        <v>42</v>
      </c>
      <c r="I207" s="22" t="n">
        <v>6</v>
      </c>
      <c r="J207" s="22" t="n">
        <v>1</v>
      </c>
      <c r="K207" s="22" t="s">
        <v>124</v>
      </c>
      <c r="L207" s="22"/>
      <c r="M207" s="22"/>
      <c r="N207" s="24"/>
    </row>
    <row r="208" customFormat="false" ht="35.05" hidden="false" customHeight="false" outlineLevel="0" collapsed="false">
      <c r="A208" s="22" t="s">
        <v>65</v>
      </c>
      <c r="B208" s="22" t="s">
        <v>686</v>
      </c>
      <c r="C208" s="22" t="s">
        <v>687</v>
      </c>
      <c r="D208" s="22" t="s">
        <v>688</v>
      </c>
      <c r="E208" s="22"/>
      <c r="F208" s="25" t="s">
        <v>17</v>
      </c>
      <c r="G208" s="24" t="s">
        <v>133</v>
      </c>
      <c r="H208" s="22" t="s">
        <v>42</v>
      </c>
      <c r="I208" s="22" t="n">
        <v>6</v>
      </c>
      <c r="J208" s="22" t="n">
        <v>1</v>
      </c>
      <c r="K208" s="22" t="s">
        <v>124</v>
      </c>
      <c r="L208" s="22"/>
      <c r="M208" s="22"/>
      <c r="N208" s="24"/>
    </row>
    <row r="209" customFormat="false" ht="35.05" hidden="false" customHeight="false" outlineLevel="0" collapsed="false">
      <c r="A209" s="22" t="s">
        <v>65</v>
      </c>
      <c r="B209" s="22" t="s">
        <v>689</v>
      </c>
      <c r="C209" s="22" t="s">
        <v>690</v>
      </c>
      <c r="D209" s="22" t="s">
        <v>691</v>
      </c>
      <c r="E209" s="22"/>
      <c r="F209" s="25" t="s">
        <v>17</v>
      </c>
      <c r="G209" s="24" t="s">
        <v>137</v>
      </c>
      <c r="H209" s="22" t="s">
        <v>42</v>
      </c>
      <c r="I209" s="22" t="n">
        <v>6</v>
      </c>
      <c r="J209" s="22" t="n">
        <v>1</v>
      </c>
      <c r="K209" s="22" t="s">
        <v>124</v>
      </c>
      <c r="L209" s="22"/>
      <c r="M209" s="22"/>
      <c r="N209" s="24"/>
    </row>
    <row r="210" customFormat="false" ht="35.05" hidden="false" customHeight="false" outlineLevel="0" collapsed="false">
      <c r="A210" s="22" t="s">
        <v>65</v>
      </c>
      <c r="B210" s="22" t="s">
        <v>692</v>
      </c>
      <c r="C210" s="22" t="s">
        <v>693</v>
      </c>
      <c r="D210" s="22" t="s">
        <v>694</v>
      </c>
      <c r="E210" s="22"/>
      <c r="F210" s="25" t="s">
        <v>17</v>
      </c>
      <c r="G210" s="24" t="s">
        <v>137</v>
      </c>
      <c r="H210" s="22" t="s">
        <v>42</v>
      </c>
      <c r="I210" s="22" t="n">
        <v>6</v>
      </c>
      <c r="J210" s="22" t="n">
        <v>1</v>
      </c>
      <c r="K210" s="22" t="s">
        <v>124</v>
      </c>
      <c r="L210" s="22"/>
      <c r="M210" s="22"/>
      <c r="N210" s="24"/>
    </row>
    <row r="211" customFormat="false" ht="35.05" hidden="false" customHeight="false" outlineLevel="0" collapsed="false">
      <c r="A211" s="22" t="s">
        <v>65</v>
      </c>
      <c r="B211" s="22" t="s">
        <v>695</v>
      </c>
      <c r="C211" s="22" t="s">
        <v>696</v>
      </c>
      <c r="D211" s="22" t="s">
        <v>697</v>
      </c>
      <c r="E211" s="22"/>
      <c r="F211" s="25" t="s">
        <v>17</v>
      </c>
      <c r="G211" s="24" t="s">
        <v>137</v>
      </c>
      <c r="H211" s="22" t="s">
        <v>42</v>
      </c>
      <c r="I211" s="22" t="n">
        <v>6</v>
      </c>
      <c r="J211" s="22" t="n">
        <v>1</v>
      </c>
      <c r="K211" s="22" t="s">
        <v>124</v>
      </c>
      <c r="L211" s="22"/>
      <c r="M211" s="22"/>
      <c r="N211" s="24"/>
    </row>
    <row r="212" customFormat="false" ht="35.05" hidden="false" customHeight="false" outlineLevel="0" collapsed="false">
      <c r="A212" s="22" t="s">
        <v>65</v>
      </c>
      <c r="B212" s="22" t="s">
        <v>698</v>
      </c>
      <c r="C212" s="22" t="s">
        <v>699</v>
      </c>
      <c r="D212" s="22" t="s">
        <v>700</v>
      </c>
      <c r="E212" s="22"/>
      <c r="F212" s="25" t="s">
        <v>17</v>
      </c>
      <c r="G212" s="24" t="s">
        <v>137</v>
      </c>
      <c r="H212" s="22" t="s">
        <v>42</v>
      </c>
      <c r="I212" s="22" t="n">
        <v>6</v>
      </c>
      <c r="J212" s="22" t="n">
        <v>1</v>
      </c>
      <c r="K212" s="22" t="s">
        <v>124</v>
      </c>
      <c r="L212" s="22"/>
      <c r="M212" s="22"/>
      <c r="N212" s="24"/>
    </row>
    <row r="213" customFormat="false" ht="15" hidden="false" customHeight="false" outlineLevel="0" collapsed="false">
      <c r="A213" s="22" t="s">
        <v>65</v>
      </c>
      <c r="B213" s="22" t="s">
        <v>701</v>
      </c>
      <c r="C213" s="22" t="s">
        <v>702</v>
      </c>
      <c r="D213" s="22" t="s">
        <v>168</v>
      </c>
      <c r="E213" s="22"/>
      <c r="F213" s="23" t="s">
        <v>15</v>
      </c>
      <c r="G213" s="24" t="s">
        <v>123</v>
      </c>
      <c r="H213" s="22" t="s">
        <v>41</v>
      </c>
      <c r="I213" s="22" t="n">
        <v>6</v>
      </c>
      <c r="J213" s="22" t="n">
        <v>9</v>
      </c>
      <c r="K213" s="22" t="s">
        <v>124</v>
      </c>
      <c r="L213" s="22"/>
      <c r="M213" s="22"/>
      <c r="N213" s="24"/>
    </row>
    <row r="214" customFormat="false" ht="15" hidden="false" customHeight="false" outlineLevel="0" collapsed="false">
      <c r="A214" s="22" t="s">
        <v>65</v>
      </c>
      <c r="B214" s="22" t="s">
        <v>703</v>
      </c>
      <c r="C214" s="22" t="s">
        <v>704</v>
      </c>
      <c r="D214" s="22"/>
      <c r="E214" s="22"/>
      <c r="F214" s="26" t="s">
        <v>25</v>
      </c>
      <c r="G214" s="24" t="s">
        <v>422</v>
      </c>
      <c r="H214" s="22" t="s">
        <v>44</v>
      </c>
      <c r="I214" s="22" t="n">
        <v>6</v>
      </c>
      <c r="J214" s="22" t="n">
        <v>0</v>
      </c>
      <c r="K214" s="22" t="s">
        <v>124</v>
      </c>
      <c r="L214" s="22"/>
      <c r="M214" s="22"/>
      <c r="N214" s="24"/>
    </row>
    <row r="215" customFormat="false" ht="15" hidden="false" customHeight="false" outlineLevel="0" collapsed="false">
      <c r="A215" s="22" t="s">
        <v>65</v>
      </c>
      <c r="B215" s="22" t="s">
        <v>705</v>
      </c>
      <c r="C215" s="22" t="s">
        <v>167</v>
      </c>
      <c r="D215" s="22" t="s">
        <v>629</v>
      </c>
      <c r="E215" s="22"/>
      <c r="F215" s="23" t="s">
        <v>15</v>
      </c>
      <c r="G215" s="24" t="s">
        <v>123</v>
      </c>
      <c r="H215" s="22" t="s">
        <v>41</v>
      </c>
      <c r="I215" s="22" t="n">
        <v>6</v>
      </c>
      <c r="J215" s="22" t="n">
        <v>9</v>
      </c>
      <c r="K215" s="22" t="s">
        <v>124</v>
      </c>
      <c r="L215" s="22"/>
      <c r="M215" s="22"/>
      <c r="N215" s="24"/>
    </row>
    <row r="216" customFormat="false" ht="35.05" hidden="false" customHeight="false" outlineLevel="0" collapsed="false">
      <c r="A216" s="22" t="s">
        <v>65</v>
      </c>
      <c r="B216" s="22" t="s">
        <v>706</v>
      </c>
      <c r="C216" s="22" t="s">
        <v>707</v>
      </c>
      <c r="D216" s="22" t="s">
        <v>708</v>
      </c>
      <c r="E216" s="22"/>
      <c r="F216" s="25" t="s">
        <v>17</v>
      </c>
      <c r="G216" s="24" t="s">
        <v>137</v>
      </c>
      <c r="H216" s="22" t="s">
        <v>42</v>
      </c>
      <c r="I216" s="22" t="n">
        <v>6</v>
      </c>
      <c r="J216" s="22" t="n">
        <v>1</v>
      </c>
      <c r="K216" s="22" t="s">
        <v>124</v>
      </c>
      <c r="L216" s="22"/>
      <c r="M216" s="22"/>
      <c r="N216" s="24"/>
    </row>
    <row r="217" customFormat="false" ht="35.05" hidden="false" customHeight="false" outlineLevel="0" collapsed="false">
      <c r="A217" s="22" t="s">
        <v>65</v>
      </c>
      <c r="B217" s="22" t="s">
        <v>709</v>
      </c>
      <c r="C217" s="22" t="s">
        <v>710</v>
      </c>
      <c r="D217" s="22" t="s">
        <v>711</v>
      </c>
      <c r="E217" s="22"/>
      <c r="F217" s="25" t="s">
        <v>17</v>
      </c>
      <c r="G217" s="24" t="s">
        <v>137</v>
      </c>
      <c r="H217" s="22" t="s">
        <v>42</v>
      </c>
      <c r="I217" s="22" t="n">
        <v>6</v>
      </c>
      <c r="J217" s="22" t="n">
        <v>1</v>
      </c>
      <c r="K217" s="22" t="s">
        <v>124</v>
      </c>
      <c r="L217" s="22"/>
      <c r="M217" s="22"/>
      <c r="N217" s="24"/>
    </row>
    <row r="218" customFormat="false" ht="23.85" hidden="false" customHeight="false" outlineLevel="0" collapsed="false">
      <c r="A218" s="22" t="s">
        <v>65</v>
      </c>
      <c r="B218" s="22" t="s">
        <v>712</v>
      </c>
      <c r="C218" s="22" t="s">
        <v>713</v>
      </c>
      <c r="D218" s="22" t="s">
        <v>714</v>
      </c>
      <c r="E218" s="22"/>
      <c r="F218" s="27" t="s">
        <v>19</v>
      </c>
      <c r="G218" s="24" t="s">
        <v>181</v>
      </c>
      <c r="H218" s="22" t="s">
        <v>42</v>
      </c>
      <c r="I218" s="22" t="n">
        <v>6</v>
      </c>
      <c r="J218" s="22" t="n">
        <v>1</v>
      </c>
      <c r="K218" s="22" t="s">
        <v>124</v>
      </c>
      <c r="L218" s="22"/>
      <c r="M218" s="22"/>
      <c r="N218" s="24"/>
    </row>
    <row r="219" customFormat="false" ht="35.05" hidden="false" customHeight="false" outlineLevel="0" collapsed="false">
      <c r="A219" s="22" t="s">
        <v>65</v>
      </c>
      <c r="B219" s="22" t="s">
        <v>715</v>
      </c>
      <c r="C219" s="22" t="s">
        <v>716</v>
      </c>
      <c r="D219" s="22" t="s">
        <v>717</v>
      </c>
      <c r="E219" s="22"/>
      <c r="F219" s="25" t="s">
        <v>17</v>
      </c>
      <c r="G219" s="24" t="s">
        <v>133</v>
      </c>
      <c r="H219" s="22" t="s">
        <v>42</v>
      </c>
      <c r="I219" s="22" t="n">
        <v>6</v>
      </c>
      <c r="J219" s="22" t="n">
        <v>1</v>
      </c>
      <c r="K219" s="22" t="s">
        <v>124</v>
      </c>
      <c r="L219" s="22"/>
      <c r="M219" s="22"/>
      <c r="N219" s="24"/>
    </row>
    <row r="220" customFormat="false" ht="35.05" hidden="false" customHeight="false" outlineLevel="0" collapsed="false">
      <c r="A220" s="22" t="s">
        <v>65</v>
      </c>
      <c r="B220" s="22" t="s">
        <v>718</v>
      </c>
      <c r="C220" s="22" t="s">
        <v>719</v>
      </c>
      <c r="D220" s="22" t="s">
        <v>720</v>
      </c>
      <c r="E220" s="22"/>
      <c r="F220" s="25" t="s">
        <v>17</v>
      </c>
      <c r="G220" s="24" t="s">
        <v>133</v>
      </c>
      <c r="H220" s="22" t="s">
        <v>42</v>
      </c>
      <c r="I220" s="22" t="n">
        <v>6</v>
      </c>
      <c r="J220" s="22" t="n">
        <v>1</v>
      </c>
      <c r="K220" s="22" t="s">
        <v>124</v>
      </c>
      <c r="L220" s="22"/>
      <c r="M220" s="22"/>
      <c r="N220" s="24"/>
    </row>
    <row r="221" customFormat="false" ht="35.05" hidden="false" customHeight="false" outlineLevel="0" collapsed="false">
      <c r="A221" s="22" t="s">
        <v>65</v>
      </c>
      <c r="B221" s="22" t="s">
        <v>721</v>
      </c>
      <c r="C221" s="22" t="s">
        <v>722</v>
      </c>
      <c r="D221" s="22" t="s">
        <v>723</v>
      </c>
      <c r="E221" s="22"/>
      <c r="F221" s="25" t="s">
        <v>17</v>
      </c>
      <c r="G221" s="24" t="s">
        <v>137</v>
      </c>
      <c r="H221" s="22" t="s">
        <v>42</v>
      </c>
      <c r="I221" s="22" t="n">
        <v>6</v>
      </c>
      <c r="J221" s="22" t="n">
        <v>1</v>
      </c>
      <c r="K221" s="22" t="s">
        <v>124</v>
      </c>
      <c r="L221" s="22"/>
      <c r="M221" s="22"/>
      <c r="N221" s="24"/>
    </row>
  </sheetData>
  <autoFilter ref="A1:N221"/>
  <dataValidations count="1">
    <dataValidation allowBlank="true" errorStyle="stop" operator="between" showDropDown="false" showErrorMessage="false" showInputMessage="false" sqref="K2:K221" type="list">
      <formula1>"Not Started,Verifying,Confirmed Free,Confirmed Paid,Blocked/Restricted,Live"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55"/>
  </cols>
  <sheetData>
    <row r="2" customFormat="false" ht="19.7" hidden="false" customHeight="false" outlineLevel="0" collapsed="false">
      <c r="B2" s="1" t="s">
        <v>724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725</v>
      </c>
      <c r="C3" s="2"/>
      <c r="D3" s="2"/>
      <c r="E3" s="2"/>
      <c r="F3" s="2"/>
      <c r="G3" s="2"/>
    </row>
    <row r="5" customFormat="false" ht="25.5" hidden="false" customHeight="true" outlineLevel="0" collapsed="false">
      <c r="A5" s="13" t="s">
        <v>48</v>
      </c>
      <c r="B5" s="13" t="s">
        <v>109</v>
      </c>
      <c r="C5" s="13" t="s">
        <v>110</v>
      </c>
      <c r="D5" s="13" t="s">
        <v>37</v>
      </c>
      <c r="E5" s="13" t="s">
        <v>726</v>
      </c>
      <c r="F5" s="13" t="s">
        <v>727</v>
      </c>
    </row>
    <row r="6" customFormat="false" ht="30" hidden="false" customHeight="true" outlineLevel="0" collapsed="false">
      <c r="A6" s="15" t="s">
        <v>59</v>
      </c>
      <c r="B6" s="15" t="s">
        <v>411</v>
      </c>
      <c r="C6" s="15" t="s">
        <v>412</v>
      </c>
      <c r="D6" s="29" t="s">
        <v>19</v>
      </c>
      <c r="E6" s="15" t="s">
        <v>413</v>
      </c>
      <c r="F6" s="17" t="s">
        <v>728</v>
      </c>
    </row>
    <row r="7" customFormat="false" ht="30" hidden="false" customHeight="true" outlineLevel="0" collapsed="false">
      <c r="A7" s="15" t="s">
        <v>57</v>
      </c>
      <c r="B7" s="15" t="s">
        <v>269</v>
      </c>
      <c r="C7" s="15" t="s">
        <v>270</v>
      </c>
      <c r="D7" s="29" t="s">
        <v>19</v>
      </c>
      <c r="E7" s="15" t="s">
        <v>271</v>
      </c>
      <c r="F7" s="17" t="s">
        <v>728</v>
      </c>
    </row>
    <row r="8" customFormat="false" ht="30" hidden="false" customHeight="true" outlineLevel="0" collapsed="false">
      <c r="A8" s="15" t="s">
        <v>55</v>
      </c>
      <c r="B8" s="15" t="s">
        <v>178</v>
      </c>
      <c r="C8" s="15" t="s">
        <v>179</v>
      </c>
      <c r="D8" s="29" t="s">
        <v>19</v>
      </c>
      <c r="E8" s="15" t="s">
        <v>180</v>
      </c>
      <c r="F8" s="17" t="s">
        <v>728</v>
      </c>
    </row>
    <row r="9" customFormat="false" ht="30" hidden="false" customHeight="true" outlineLevel="0" collapsed="false">
      <c r="A9" s="15" t="s">
        <v>65</v>
      </c>
      <c r="B9" s="15" t="s">
        <v>712</v>
      </c>
      <c r="C9" s="15" t="s">
        <v>713</v>
      </c>
      <c r="D9" s="29" t="s">
        <v>19</v>
      </c>
      <c r="E9" s="15" t="s">
        <v>714</v>
      </c>
      <c r="F9" s="17" t="s">
        <v>728</v>
      </c>
    </row>
    <row r="10" customFormat="false" ht="30" hidden="false" customHeight="true" outlineLevel="0" collapsed="false">
      <c r="A10" s="15" t="s">
        <v>59</v>
      </c>
      <c r="B10" s="15" t="s">
        <v>420</v>
      </c>
      <c r="C10" s="15" t="s">
        <v>421</v>
      </c>
      <c r="D10" s="20" t="s">
        <v>25</v>
      </c>
      <c r="E10" s="15" t="s">
        <v>729</v>
      </c>
      <c r="F10" s="17" t="s">
        <v>730</v>
      </c>
    </row>
    <row r="11" customFormat="false" ht="30" hidden="false" customHeight="true" outlineLevel="0" collapsed="false">
      <c r="A11" s="15" t="s">
        <v>59</v>
      </c>
      <c r="B11" s="15" t="s">
        <v>435</v>
      </c>
      <c r="C11" s="15" t="s">
        <v>436</v>
      </c>
      <c r="D11" s="20" t="s">
        <v>25</v>
      </c>
      <c r="E11" s="15" t="s">
        <v>729</v>
      </c>
      <c r="F11" s="17" t="s">
        <v>730</v>
      </c>
    </row>
    <row r="12" customFormat="false" ht="30" hidden="false" customHeight="true" outlineLevel="0" collapsed="false">
      <c r="A12" s="15" t="s">
        <v>59</v>
      </c>
      <c r="B12" s="15" t="s">
        <v>437</v>
      </c>
      <c r="C12" s="15" t="s">
        <v>438</v>
      </c>
      <c r="D12" s="20" t="s">
        <v>25</v>
      </c>
      <c r="E12" s="15" t="s">
        <v>729</v>
      </c>
      <c r="F12" s="17" t="s">
        <v>730</v>
      </c>
    </row>
    <row r="13" customFormat="false" ht="30" hidden="false" customHeight="true" outlineLevel="0" collapsed="false">
      <c r="A13" s="15" t="s">
        <v>59</v>
      </c>
      <c r="B13" s="15" t="s">
        <v>465</v>
      </c>
      <c r="C13" s="15" t="s">
        <v>466</v>
      </c>
      <c r="D13" s="20" t="s">
        <v>25</v>
      </c>
      <c r="E13" s="15" t="s">
        <v>729</v>
      </c>
      <c r="F13" s="17" t="s">
        <v>730</v>
      </c>
    </row>
    <row r="14" customFormat="false" ht="30" hidden="false" customHeight="true" outlineLevel="0" collapsed="false">
      <c r="A14" s="15" t="s">
        <v>65</v>
      </c>
      <c r="B14" s="15" t="s">
        <v>703</v>
      </c>
      <c r="C14" s="15" t="s">
        <v>704</v>
      </c>
      <c r="D14" s="20" t="s">
        <v>25</v>
      </c>
      <c r="E14" s="15" t="s">
        <v>729</v>
      </c>
      <c r="F14" s="17" t="s">
        <v>730</v>
      </c>
    </row>
    <row r="15" customFormat="false" ht="30" hidden="false" customHeight="true" outlineLevel="0" collapsed="false">
      <c r="A15" s="15" t="s">
        <v>59</v>
      </c>
      <c r="B15" s="15" t="s">
        <v>414</v>
      </c>
      <c r="C15" s="15" t="s">
        <v>415</v>
      </c>
      <c r="D15" s="20" t="s">
        <v>23</v>
      </c>
      <c r="E15" s="15" t="s">
        <v>416</v>
      </c>
      <c r="F15" s="17" t="s">
        <v>731</v>
      </c>
    </row>
    <row r="16" customFormat="false" ht="30" hidden="false" customHeight="true" outlineLevel="0" collapsed="false">
      <c r="A16" s="15" t="s">
        <v>59</v>
      </c>
      <c r="B16" s="15" t="s">
        <v>432</v>
      </c>
      <c r="C16" s="15" t="s">
        <v>433</v>
      </c>
      <c r="D16" s="20" t="s">
        <v>23</v>
      </c>
      <c r="E16" s="15" t="s">
        <v>434</v>
      </c>
      <c r="F16" s="17" t="s">
        <v>731</v>
      </c>
    </row>
    <row r="17" customFormat="false" ht="30" hidden="false" customHeight="true" outlineLevel="0" collapsed="false">
      <c r="A17" s="15" t="s">
        <v>59</v>
      </c>
      <c r="B17" s="15" t="s">
        <v>454</v>
      </c>
      <c r="C17" s="15" t="s">
        <v>455</v>
      </c>
      <c r="D17" s="20" t="s">
        <v>23</v>
      </c>
      <c r="E17" s="15" t="s">
        <v>456</v>
      </c>
      <c r="F17" s="17" t="s">
        <v>731</v>
      </c>
    </row>
    <row r="18" customFormat="false" ht="30" hidden="false" customHeight="true" outlineLevel="0" collapsed="false">
      <c r="A18" s="15" t="s">
        <v>59</v>
      </c>
      <c r="B18" s="15" t="s">
        <v>470</v>
      </c>
      <c r="C18" s="15" t="s">
        <v>471</v>
      </c>
      <c r="D18" s="20" t="s">
        <v>23</v>
      </c>
      <c r="E18" s="15" t="s">
        <v>472</v>
      </c>
      <c r="F18" s="17" t="s">
        <v>731</v>
      </c>
    </row>
    <row r="19" customFormat="false" ht="30" hidden="false" customHeight="true" outlineLevel="0" collapsed="false">
      <c r="A19" s="15" t="s">
        <v>63</v>
      </c>
      <c r="B19" s="15" t="s">
        <v>633</v>
      </c>
      <c r="C19" s="15" t="s">
        <v>634</v>
      </c>
      <c r="D19" s="20" t="s">
        <v>23</v>
      </c>
      <c r="E19" s="15" t="s">
        <v>434</v>
      </c>
      <c r="F19" s="17" t="s">
        <v>731</v>
      </c>
    </row>
    <row r="20" customFormat="false" ht="30" hidden="false" customHeight="true" outlineLevel="0" collapsed="false">
      <c r="A20" s="15" t="s">
        <v>61</v>
      </c>
      <c r="B20" s="15" t="s">
        <v>552</v>
      </c>
      <c r="C20" s="15" t="s">
        <v>553</v>
      </c>
      <c r="D20" s="20" t="s">
        <v>23</v>
      </c>
      <c r="E20" s="15" t="s">
        <v>554</v>
      </c>
      <c r="F20" s="17" t="s">
        <v>731</v>
      </c>
    </row>
    <row r="21" customFormat="false" ht="30" hidden="false" customHeight="true" outlineLevel="0" collapsed="false">
      <c r="A21" s="15" t="s">
        <v>55</v>
      </c>
      <c r="B21" s="15" t="s">
        <v>145</v>
      </c>
      <c r="C21" s="15" t="s">
        <v>146</v>
      </c>
      <c r="D21" s="20" t="s">
        <v>23</v>
      </c>
      <c r="E21" s="15" t="s">
        <v>147</v>
      </c>
      <c r="F21" s="17" t="s">
        <v>731</v>
      </c>
    </row>
  </sheetData>
  <autoFilter ref="A5:F21"/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2026-07-09T04:49:35Z</dcterms:created>
  <dc:creator>openpyxl</dc:creator>
  <dc:description/>
  <dc:language>en-US</dc:language>
  <cp:lastModifiedBy/>
  <dcterms:modified xsi:type="dcterms:W3CDTF">2026-07-09T04:49:37Z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